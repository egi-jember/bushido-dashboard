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 DASHBOARD\"/>
    </mc:Choice>
  </mc:AlternateContent>
  <bookViews>
    <workbookView xWindow="0" yWindow="0" windowWidth="20490" windowHeight="7755"/>
  </bookViews>
  <sheets>
    <sheet name="DATA LOOKU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5" i="1" l="1"/>
  <c r="O5" i="1" s="1"/>
  <c r="P5" i="1" s="1"/>
  <c r="O35" i="1" l="1"/>
  <c r="O4" i="1"/>
  <c r="P4" i="1" s="1"/>
  <c r="O6" i="1"/>
  <c r="P6" i="1" s="1"/>
  <c r="O8" i="1"/>
  <c r="O10" i="1"/>
  <c r="O12" i="1"/>
  <c r="O14" i="1"/>
  <c r="O16" i="1"/>
  <c r="O18" i="1"/>
  <c r="O20" i="1"/>
  <c r="O22" i="1"/>
  <c r="O24" i="1"/>
  <c r="O26" i="1"/>
  <c r="O28" i="1"/>
  <c r="O30" i="1"/>
  <c r="O32" i="1"/>
  <c r="O34" i="1"/>
  <c r="O7" i="1"/>
  <c r="O9" i="1"/>
  <c r="O13" i="1"/>
  <c r="O15" i="1"/>
  <c r="O17" i="1"/>
  <c r="O19" i="1"/>
  <c r="O21" i="1"/>
  <c r="O23" i="1"/>
  <c r="O25" i="1"/>
  <c r="O27" i="1"/>
  <c r="O29" i="1"/>
  <c r="O31" i="1"/>
  <c r="O33" i="1"/>
  <c r="O11" i="1"/>
  <c r="P7" i="1" l="1"/>
  <c r="P8" i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</calcChain>
</file>

<file path=xl/sharedStrings.xml><?xml version="1.0" encoding="utf-8"?>
<sst xmlns="http://schemas.openxmlformats.org/spreadsheetml/2006/main" count="994" uniqueCount="511">
  <si>
    <t>week</t>
  </si>
  <si>
    <t>AEROX 155 (BBPF00)</t>
  </si>
  <si>
    <t>AT PREMIUM</t>
  </si>
  <si>
    <t>W1</t>
  </si>
  <si>
    <t>AEROX 155 CYBERCITY (BBPG00)</t>
  </si>
  <si>
    <t>Row Labels</t>
  </si>
  <si>
    <t>Tanggal</t>
  </si>
  <si>
    <t>Count of No Rangka</t>
  </si>
  <si>
    <t>Target</t>
  </si>
  <si>
    <t>ALL NEW AEROX 155 C (BBP100)</t>
  </si>
  <si>
    <t>SENTRAL YAMAHA JEMBER</t>
  </si>
  <si>
    <t>SIP A. YANI</t>
  </si>
  <si>
    <t>EB05002</t>
  </si>
  <si>
    <t>SIP PANJI</t>
  </si>
  <si>
    <t>ALL NEW AEROX 155 C ABS (BBP200)</t>
  </si>
  <si>
    <t>SIP BESUKI</t>
  </si>
  <si>
    <t>EB05002-01</t>
  </si>
  <si>
    <t>BATAL</t>
  </si>
  <si>
    <t>NOT HOT</t>
  </si>
  <si>
    <t>ALL NEW AEROX 155 CONNECTED CYBERCITY (BBP500)</t>
  </si>
  <si>
    <t>SIP BONDOWOSO</t>
  </si>
  <si>
    <t>SIP GIRI</t>
  </si>
  <si>
    <t>EB05002-02</t>
  </si>
  <si>
    <t>SIP ASEMBAGUS</t>
  </si>
  <si>
    <t>DISETUJUI</t>
  </si>
  <si>
    <t>HOT</t>
  </si>
  <si>
    <t>ALL NEW NMAX 155  (B6H)</t>
  </si>
  <si>
    <t>SURYA INTI PUTRA A. YANI</t>
  </si>
  <si>
    <t>EB05002-03</t>
  </si>
  <si>
    <t>SIP CERMEE</t>
  </si>
  <si>
    <t>DITOLAK</t>
  </si>
  <si>
    <t>ALL NEW NMAX 155 ABS (B6Y100)</t>
  </si>
  <si>
    <t>SURYA INTI PUTRA AMBULU</t>
  </si>
  <si>
    <t>SIP SIAGA</t>
  </si>
  <si>
    <t>EB05002-04</t>
  </si>
  <si>
    <t>SIP PANARUKAN</t>
  </si>
  <si>
    <t>TERBUKA</t>
  </si>
  <si>
    <t>ALL NEW NMAX 155 CONNECTED (BH6C00,BH6C01,B6H600,B6H601)</t>
  </si>
  <si>
    <t>W2</t>
  </si>
  <si>
    <t>SURYA INTI PUTRA BALUNG</t>
  </si>
  <si>
    <t>SIP SOBO</t>
  </si>
  <si>
    <t>ED05001</t>
  </si>
  <si>
    <t>TUNAI</t>
  </si>
  <si>
    <t>ALL NEW R15 CONNECTED (BDJ200/BDJ201)</t>
  </si>
  <si>
    <t>SPORT</t>
  </si>
  <si>
    <t>SURYA INTI PUTRA GAJAH MADA</t>
  </si>
  <si>
    <t>SIP SRONO</t>
  </si>
  <si>
    <t>ED05002</t>
  </si>
  <si>
    <t>Grand Total</t>
  </si>
  <si>
    <t>ALL NEW X-RIDE ANSWER BACK SYSTEM (BY85,BY83)</t>
  </si>
  <si>
    <t>AT STANDART</t>
  </si>
  <si>
    <t>SURYA INTI PUTRA GIRI</t>
  </si>
  <si>
    <t>ED05003</t>
  </si>
  <si>
    <t>ALL NEW XSR 155 (BBS1)</t>
  </si>
  <si>
    <t>SURYA INTI PUTRA KEBONSARI</t>
  </si>
  <si>
    <t>ED05005</t>
  </si>
  <si>
    <t>FAZZIO CONNECTED LUX (BEJ300)</t>
  </si>
  <si>
    <t>AT CLASSY</t>
  </si>
  <si>
    <t>SURYA INTI PUTRA NANGKAAN</t>
  </si>
  <si>
    <t>ED05005-04</t>
  </si>
  <si>
    <t>SIP MUNCAR</t>
  </si>
  <si>
    <t>FAZZIO CONNECTED NEO (BEJ100)</t>
  </si>
  <si>
    <t>SURYA INTI PUTRA PANJI</t>
  </si>
  <si>
    <t>ED05005-05</t>
  </si>
  <si>
    <t>SIP SILIRAGUNG</t>
  </si>
  <si>
    <t>FAZZIO NEO HYBRID</t>
  </si>
  <si>
    <t>SURYA INTI PUTRA RAMBIPUJI</t>
  </si>
  <si>
    <t>ED05005-06</t>
  </si>
  <si>
    <t>SIP TEMUGURUH</t>
  </si>
  <si>
    <t>FREE GO 125 (BKU100)</t>
  </si>
  <si>
    <t>W3</t>
  </si>
  <si>
    <t>SURYA INTI PUTRA SIAGA</t>
  </si>
  <si>
    <t>ED05006</t>
  </si>
  <si>
    <t>FREE GO 125 CONNECTED (BKU200)</t>
  </si>
  <si>
    <t>SURYA INTI PUTRA SOBO</t>
  </si>
  <si>
    <t>ED05003-03</t>
  </si>
  <si>
    <t>SIP GLENMORE</t>
  </si>
  <si>
    <t>GEAR 125 (B3W100/01)</t>
  </si>
  <si>
    <t>AT LPM</t>
  </si>
  <si>
    <t>SURYA INTI PUTRA SRONO</t>
  </si>
  <si>
    <t>GEAR 125 S VERSION (B3W200/01)</t>
  </si>
  <si>
    <t>SURYA INTI PUTRA SUMBERSARI</t>
  </si>
  <si>
    <t>GRAND FILANO LUX (BJM100)</t>
  </si>
  <si>
    <t>SURYA INTI PUTRA TRUNOJOYO</t>
  </si>
  <si>
    <t>GRAND FILANO NEO (BJM300)</t>
  </si>
  <si>
    <t>GRAND FILANO NEO HYBRID</t>
  </si>
  <si>
    <t>LEXI (B3F1)</t>
  </si>
  <si>
    <t>W4</t>
  </si>
  <si>
    <t>INDAH MOTOR</t>
  </si>
  <si>
    <t>LEXI ABS (B3F3)</t>
  </si>
  <si>
    <t>RODASURYA PANJI</t>
  </si>
  <si>
    <t>MX KING 150 (2PV1),(2PV7),(2PV9)</t>
  </si>
  <si>
    <t>MOPED</t>
  </si>
  <si>
    <t>RODASURYA SRONO</t>
  </si>
  <si>
    <t>NEW MIO M3 CW (2PH1/2PH100/2PH110/2PH11/2PH3)</t>
  </si>
  <si>
    <t>SAKTI MOTOR</t>
  </si>
  <si>
    <t>NMAX 155 S (B6HT00/B6HU00)</t>
  </si>
  <si>
    <t>SIAGA MOTOR</t>
  </si>
  <si>
    <t>VEGA FORCE DB CW (1FD6/1FDB/1FDE/1FDH)</t>
  </si>
  <si>
    <t>WR 155 R (B3M1)</t>
  </si>
  <si>
    <t>X MAX CONNECTED (BPV100)</t>
  </si>
  <si>
    <t>LEXI LX 155 CONNECTED ABS (BPN100)</t>
  </si>
  <si>
    <t>LEXI LX 155 S (BPN800)</t>
  </si>
  <si>
    <t>LEXI LX 155 (BPN900)</t>
  </si>
  <si>
    <t>MT 15 (B8D1)</t>
  </si>
  <si>
    <t>NMAX NEO (BPA100,BPA200)</t>
  </si>
  <si>
    <t>NMAX TURBO TECH MAX (BLS100)</t>
  </si>
  <si>
    <t>NMAX NEO S (BTE100,BTE200)</t>
  </si>
  <si>
    <t>NMAX TURBO (BTD100,BTD200)</t>
  </si>
  <si>
    <t>MX KING 150 GP (2PV8)</t>
  </si>
  <si>
    <t>ALL NEW VIXION R (BT31/BT32)</t>
  </si>
  <si>
    <t>FAZZIO HYBRID (BEJB00)</t>
  </si>
  <si>
    <t>GEAR 125 SPESIAL EDITION (B3W700-010)</t>
  </si>
  <si>
    <t>XMAX TECH MAX (BPV3)</t>
  </si>
  <si>
    <t>AEROX 155 VVA (B651/B65A/B65P)</t>
  </si>
  <si>
    <t>AT PREM 125</t>
  </si>
  <si>
    <t>AT PREM 150</t>
  </si>
  <si>
    <t>AT STD</t>
  </si>
  <si>
    <t>AT STYLISH</t>
  </si>
  <si>
    <t>PP&gt;125CC</t>
  </si>
  <si>
    <t>SPORT PREM</t>
  </si>
  <si>
    <t>AEROX</t>
  </si>
  <si>
    <t>AEROX 155 VVA</t>
  </si>
  <si>
    <t>AEROX 155 VVA GP-MOVISTAR</t>
  </si>
  <si>
    <t>AEROX 155 VVA R VERSION</t>
  </si>
  <si>
    <t>AEROX 155 VVA S DOXOU VERSION</t>
  </si>
  <si>
    <t>AEROX GP MOVISTAR</t>
  </si>
  <si>
    <t>ALL NEW AEROX 155</t>
  </si>
  <si>
    <t>ALL NEW AEROX 155 C</t>
  </si>
  <si>
    <t>ALL NEW AEROX 155 C CYBERCITY</t>
  </si>
  <si>
    <t>ALL NEW AEROX 155 C/ABS</t>
  </si>
  <si>
    <t>ALL NEW AEROX 155 C/ABS WGP</t>
  </si>
  <si>
    <t>ALL NEW AEROX 155 CYBERCITY</t>
  </si>
  <si>
    <t>ALL NEW AEROX 155 VVA ABS</t>
  </si>
  <si>
    <t>ALL NEW NMAX 155</t>
  </si>
  <si>
    <t>ALL NEW NMAX 155 ABS</t>
  </si>
  <si>
    <t>ALL NEW NMAX 155 C</t>
  </si>
  <si>
    <t>ALL NEW NMAX 155 C/ABS</t>
  </si>
  <si>
    <t>ALL NEW NMAX 155 S</t>
  </si>
  <si>
    <t>ALL NEW R15 C</t>
  </si>
  <si>
    <t>ALL NEW R15 VVA155</t>
  </si>
  <si>
    <t>ALL NEW R15M C-ABS</t>
  </si>
  <si>
    <t>ALL NEW SOUL GT AKS</t>
  </si>
  <si>
    <t>ALL NEW VIXION GP-MONSTER</t>
  </si>
  <si>
    <t>ALL NEW VIXION R</t>
  </si>
  <si>
    <t>ALL NEW XRIDE 125</t>
  </si>
  <si>
    <t>ALL NEW XSR 155</t>
  </si>
  <si>
    <t>FAZZIO HYBRID</t>
  </si>
  <si>
    <t>FAZZIO HYBRID LUX</t>
  </si>
  <si>
    <t>FAZZIO HYBRID NEO</t>
  </si>
  <si>
    <t>FAZZIO LUX</t>
  </si>
  <si>
    <t>FAZZIO NEO</t>
  </si>
  <si>
    <t>FINO GRANDE 125</t>
  </si>
  <si>
    <t>FINO PREMIUM 125</t>
  </si>
  <si>
    <t>FINO PREMIUM FI</t>
  </si>
  <si>
    <t>FINO SPORTY 125</t>
  </si>
  <si>
    <t>FREEGO</t>
  </si>
  <si>
    <t>FREEGO 125</t>
  </si>
  <si>
    <t>FREEGO 125 C</t>
  </si>
  <si>
    <t>FREEGO S</t>
  </si>
  <si>
    <t>GEAR 125</t>
  </si>
  <si>
    <t>GEAR 125 S VERSION</t>
  </si>
  <si>
    <t>GFILANO LUX</t>
  </si>
  <si>
    <t>GRAND FILANO HYBRID LUX</t>
  </si>
  <si>
    <t>GRAND FILANO HYBRID NEO</t>
  </si>
  <si>
    <t>GRAND FILANO LUX</t>
  </si>
  <si>
    <t>GRAND FILANO NEO</t>
  </si>
  <si>
    <t>JUP Z</t>
  </si>
  <si>
    <t>JUP Z1 CW</t>
  </si>
  <si>
    <t>LEXI LX 155</t>
  </si>
  <si>
    <t>LEXI LX 155 CONNECTED ABS</t>
  </si>
  <si>
    <t>LEXI LX 155 S</t>
  </si>
  <si>
    <t>LEXI S ABS VVA SSS</t>
  </si>
  <si>
    <t>MIO M3 CW</t>
  </si>
  <si>
    <t>MX KING 150</t>
  </si>
  <si>
    <t>MX KING 150 GP</t>
  </si>
  <si>
    <t>NEW MIO M3 CW</t>
  </si>
  <si>
    <t>NMAX</t>
  </si>
  <si>
    <t>NMAX ABS</t>
  </si>
  <si>
    <t>NMAX NEO</t>
  </si>
  <si>
    <t>NMAX NEO S</t>
  </si>
  <si>
    <t>NMAX TURBO</t>
  </si>
  <si>
    <t>NMAX -TURBO-</t>
  </si>
  <si>
    <t>NMAX TURBO TECH MAX</t>
  </si>
  <si>
    <t>NMAX -TURBO- TECH MAX</t>
  </si>
  <si>
    <t>R15</t>
  </si>
  <si>
    <t>R15 GP TECH3</t>
  </si>
  <si>
    <t>R25</t>
  </si>
  <si>
    <t>R25 ABS</t>
  </si>
  <si>
    <t>V-IXION</t>
  </si>
  <si>
    <t>WR 155 R</t>
  </si>
  <si>
    <t>WR155</t>
  </si>
  <si>
    <t>X RIDE</t>
  </si>
  <si>
    <t>XMAX</t>
  </si>
  <si>
    <t>XMAX C</t>
  </si>
  <si>
    <t>XMAX TECH MAX</t>
  </si>
  <si>
    <t>XSR</t>
  </si>
  <si>
    <t>AEROX ALPHA (D09200)</t>
  </si>
  <si>
    <t>AEROX ALPHA CYBERCITY (D09100)</t>
  </si>
  <si>
    <t>AEROX ALPHA TURBO (BWP100)</t>
  </si>
  <si>
    <t>AEROX ALPHA TURBO ULTIMATE (BWP100)</t>
  </si>
  <si>
    <t>ALL NEW VIXION (BK81/BK83)</t>
  </si>
  <si>
    <t>FAZZIO HYBRID LUX (BEJA00)</t>
  </si>
  <si>
    <t>JUPITER Z CW FI (2SU2)</t>
  </si>
  <si>
    <t>MX KING 150 CYBERCITY (2PVL00)</t>
  </si>
  <si>
    <t>NMAX TURBO TECH MAX ULTIMATE (BLS100)</t>
  </si>
  <si>
    <t>GEAR ULTIMA HYBRID S (BXY 200)</t>
  </si>
  <si>
    <t>GEAR ULTIMA HYBRID (BXY 100)</t>
  </si>
  <si>
    <t>AEROX ALPHA</t>
  </si>
  <si>
    <t>G ULTIMA HYBRID</t>
  </si>
  <si>
    <t>AEROX ALPHA CYBERCITY</t>
  </si>
  <si>
    <t>AEROX ALPHA CYB</t>
  </si>
  <si>
    <t>MX KING 150 CYBERCITY</t>
  </si>
  <si>
    <t>G ULTIMA HYBRID S</t>
  </si>
  <si>
    <t>GEAR ULTIMA HYBRID S</t>
  </si>
  <si>
    <t>GEAR ULTIMA HYBRID</t>
  </si>
  <si>
    <t>AEROX 155 VVA S VERSION</t>
  </si>
  <si>
    <t>AEROX ALPHA -TURBO-</t>
  </si>
  <si>
    <t>ALL NEW R15 GP-MONSTER</t>
  </si>
  <si>
    <t>ALL NEW R15 GP-MOVISTAR</t>
  </si>
  <si>
    <t>ALL NEW R15M C-ABS WGP</t>
  </si>
  <si>
    <t>ALL NEW SOUL GT</t>
  </si>
  <si>
    <t>ALL NEW VIXION</t>
  </si>
  <si>
    <t>ALL NEW XSR 155 WGP 60TH</t>
  </si>
  <si>
    <t>BYSON</t>
  </si>
  <si>
    <t>FINO SPORTY FI</t>
  </si>
  <si>
    <t>FORCE</t>
  </si>
  <si>
    <t>FREEGO S-ABS</t>
  </si>
  <si>
    <t>GT 125</t>
  </si>
  <si>
    <t>JUPITER MX 150</t>
  </si>
  <si>
    <t>JUPITER Z CW FI</t>
  </si>
  <si>
    <t>JUPITER Z1 CW FI</t>
  </si>
  <si>
    <t>LEXAM</t>
  </si>
  <si>
    <t>LEXI LX 155 CONNECTED</t>
  </si>
  <si>
    <t>LEXI LX 155 S CONNECTED</t>
  </si>
  <si>
    <t>LEXI S VVA SSS</t>
  </si>
  <si>
    <t>LEXI VVA SSS</t>
  </si>
  <si>
    <t>MIO</t>
  </si>
  <si>
    <t>MIO GT</t>
  </si>
  <si>
    <t>MIO S</t>
  </si>
  <si>
    <t>MT15</t>
  </si>
  <si>
    <t>MT25</t>
  </si>
  <si>
    <t>MT25 ABS</t>
  </si>
  <si>
    <t>NEW FINO PREMIUM 125</t>
  </si>
  <si>
    <t>R15 GP</t>
  </si>
  <si>
    <t>VEGA FORCE DB CW</t>
  </si>
  <si>
    <t>VEGA RR</t>
  </si>
  <si>
    <t>YZF-R25</t>
  </si>
  <si>
    <t>YZF-R25 ABS</t>
  </si>
  <si>
    <t>YZF-R25 ABS WGP 60TH</t>
  </si>
  <si>
    <t>ALL NEW SOUL GT AKS SSS</t>
  </si>
  <si>
    <t>NMAX NEO S SPC LIVERY</t>
  </si>
  <si>
    <t>ALL NEW VIXION GP-MOVISTAR</t>
  </si>
  <si>
    <t>MIO M3 SP</t>
  </si>
  <si>
    <t>XABRE</t>
  </si>
  <si>
    <t>VEGA FORCE DB SW</t>
  </si>
  <si>
    <t>JUPITER Z CW</t>
  </si>
  <si>
    <t>MX KING 70TH LIVERY</t>
  </si>
  <si>
    <t>NMAX NEO SPC LIVERY</t>
  </si>
  <si>
    <t>R25 ABS (BRE 100)</t>
  </si>
  <si>
    <t>NEW X-MAX TECH MAX (BPV800)</t>
  </si>
  <si>
    <t>Y-AEROX-ALPHA-CYB</t>
  </si>
  <si>
    <t>Y-NMAX-NEO-S-LIVERY</t>
  </si>
  <si>
    <t>Y-NMAX-NEO-LIVERY</t>
  </si>
  <si>
    <t>AEROX ALPHA CYBERCITY ABS (D09100,D09400)</t>
  </si>
  <si>
    <t>NMAX NEO S SPC LIVERY (BTE800)</t>
  </si>
  <si>
    <t>NMAX NEO SPC LIVERY (BPA800)</t>
  </si>
  <si>
    <t>R15M C ABS 70 TH LIVERY (BDJA00)</t>
  </si>
  <si>
    <t>AEROX ALPHA CYBERCITY (D09800)</t>
  </si>
  <si>
    <t>XSR 155 70 TH LIVERY (BBSG00)</t>
  </si>
  <si>
    <t>MX KING 70 TH LIVERY (2PVM00)</t>
  </si>
  <si>
    <t>GEAR ULTIMA HYBRID SOLID (BXY500)</t>
  </si>
  <si>
    <t>GEAR ULTIMA HYBRID SMART (BXY400)</t>
  </si>
  <si>
    <t>AEROX ALPHA CYBERCITY ABS</t>
  </si>
  <si>
    <t>AEROX ALPHA-TURBO- 70TH LIVERY</t>
  </si>
  <si>
    <t>FAZZIO STARRY NIGHT</t>
  </si>
  <si>
    <t>G ULTIMA HYBRID SMART</t>
  </si>
  <si>
    <t>G ULTIMA HYBRID SOLID</t>
  </si>
  <si>
    <t>JUPITER Z</t>
  </si>
  <si>
    <t>JUPITER Z1 FI</t>
  </si>
  <si>
    <t>NEW FINO SPORTY 125</t>
  </si>
  <si>
    <t>NMAX-TURBO-TECH MAX SPC LIVERY</t>
  </si>
  <si>
    <t>R15M C ABS 70TH LIVERY</t>
  </si>
  <si>
    <t>XEON RC</t>
  </si>
  <si>
    <t>XSR 155 70TH LIVERY</t>
  </si>
  <si>
    <t>YZF-R25 GP MOVISTAR</t>
  </si>
  <si>
    <t>AEROX ALPHA TURBO 70TH LIVERY (BWP300)</t>
  </si>
  <si>
    <t>NMAX TURBO TECHMAX SPC LIVERY (BLS500)</t>
  </si>
  <si>
    <t>GEAR ULTIMA HYBRID SMART</t>
  </si>
  <si>
    <t>XMAX SPC LIVERY</t>
  </si>
  <si>
    <t>MX KING 150 PRIMA PRAMAC</t>
  </si>
  <si>
    <t>JUPITER MX CW</t>
  </si>
  <si>
    <t>XMAX SPC LIVERY (BPVC00)</t>
  </si>
  <si>
    <t>MX KING 150 PRIMA PRAMAC (2PVU00)</t>
  </si>
  <si>
    <t>Y-AEROX155-BBPF</t>
  </si>
  <si>
    <t>Y-AEROX-ALPHA</t>
  </si>
  <si>
    <t>Y-AEROX-ALPHA-CYB-D09800</t>
  </si>
  <si>
    <t>Y-AEROX-ALPHA-TURBO</t>
  </si>
  <si>
    <t>Y-AEROX-ALPHA-TURBO-LIV</t>
  </si>
  <si>
    <t>Y-FAZZIO-HYBRID</t>
  </si>
  <si>
    <t>Y-FAZZIO-HYBRID-LUX</t>
  </si>
  <si>
    <t>Y-FAZZIO-LUX</t>
  </si>
  <si>
    <t>Y-FAZZIO-NEO-HYB</t>
  </si>
  <si>
    <t>Y-FAZZIO-STARRY-NIGHT</t>
  </si>
  <si>
    <t>Y-FREEGO125-BKU100</t>
  </si>
  <si>
    <t>Y-GFILANO-LUX</t>
  </si>
  <si>
    <t>Y-GFILANO-NEO-HYB</t>
  </si>
  <si>
    <t>Y-G-ULTIMA-HYBRID</t>
  </si>
  <si>
    <t>Y-G-ULTIMA-HYBRID-S</t>
  </si>
  <si>
    <t>Y-G-ULTIMA-HYBRID-SMART</t>
  </si>
  <si>
    <t>Y-G-ULTIMA-HYBRID-SOLID</t>
  </si>
  <si>
    <t>Y-LEXI-LX155-C</t>
  </si>
  <si>
    <t>Y-LEXI-LX155-S-C</t>
  </si>
  <si>
    <t>Y-MIOM3CW</t>
  </si>
  <si>
    <t>Y-MXKING150</t>
  </si>
  <si>
    <t>Y-MXKING150-CYB</t>
  </si>
  <si>
    <t>Y-MXKING150-LIVERY</t>
  </si>
  <si>
    <t>Y-MXKING150-PRIMAPRAMAC</t>
  </si>
  <si>
    <t>Y-NEW-XMAX-TECH</t>
  </si>
  <si>
    <t>Y-NMAX-NEO</t>
  </si>
  <si>
    <t>Y-NMAX-NEO-S</t>
  </si>
  <si>
    <t>Y-NMAX-TURBO</t>
  </si>
  <si>
    <t>Y-NMAX-TURBO-TECHMAX</t>
  </si>
  <si>
    <t>Y-NMAX-TURBO-TECHMAX-LIV</t>
  </si>
  <si>
    <t>Y-WR155-R</t>
  </si>
  <si>
    <t>Y-XMAX-C</t>
  </si>
  <si>
    <t>Y-XMAX-LIVERY</t>
  </si>
  <si>
    <t>Y-X-RIDE125-ABS</t>
  </si>
  <si>
    <t>Y-XSR155</t>
  </si>
  <si>
    <t>BADRUL QOMAR</t>
  </si>
  <si>
    <t>ADI MOKHTAR</t>
  </si>
  <si>
    <t>IMAM MUHATIB</t>
  </si>
  <si>
    <t>DENYS FEBRIYAN TOVA</t>
  </si>
  <si>
    <t>DEDY ARIFIN</t>
  </si>
  <si>
    <t>PRASETIYO</t>
  </si>
  <si>
    <t>ANGGA DWIATMOKO</t>
  </si>
  <si>
    <t>ZAKI UFRON</t>
  </si>
  <si>
    <t>DHANY FEBRIYAN WIJAYA</t>
  </si>
  <si>
    <t>DINO DWI FIRNANDO</t>
  </si>
  <si>
    <t>RIIZKY ADE PRATAMA</t>
  </si>
  <si>
    <t>FAY PRAMATHEA</t>
  </si>
  <si>
    <t>RITO DANU ARTA</t>
  </si>
  <si>
    <t>DIKHE DEAN KHARISMA</t>
  </si>
  <si>
    <t>DWI LINDA SYAFITRI</t>
  </si>
  <si>
    <t>NURUL FADILAH</t>
  </si>
  <si>
    <t>COUNTER A. YANI</t>
  </si>
  <si>
    <t>UTVI TRIANA MANDASARI</t>
  </si>
  <si>
    <t>DEDY SISWANTO</t>
  </si>
  <si>
    <t>JOKO PRASETYO</t>
  </si>
  <si>
    <t>ANDIKA DIYO YUDIYAWAN</t>
  </si>
  <si>
    <t>AZRIEL AKBAR PRAMUDYA</t>
  </si>
  <si>
    <t>MUHAMMAD KHOIRUR RIDHO MUZZAKI</t>
  </si>
  <si>
    <t>ARNANDA FEBRI WICAKSONO</t>
  </si>
  <si>
    <t>YUDI SUSANTO</t>
  </si>
  <si>
    <t>MUHAMMAD SYAFI RIDHO INDRAWAN</t>
  </si>
  <si>
    <t>WILDAN BAGUS PRASETYO</t>
  </si>
  <si>
    <t>FAJAR MAULANA</t>
  </si>
  <si>
    <t>MOCH. MIFTAH FARID</t>
  </si>
  <si>
    <t>TUTIK SUSIYANI ABDULLAH</t>
  </si>
  <si>
    <t>RISTA SOLINA</t>
  </si>
  <si>
    <t>ERVINA NATALIA</t>
  </si>
  <si>
    <t>SUCI IRIYANTI</t>
  </si>
  <si>
    <t>ACHMAD NIZAR, S.PD.</t>
  </si>
  <si>
    <t>JIBALU MU`AFI</t>
  </si>
  <si>
    <t>DESVIN NURUL PRISTANTINI</t>
  </si>
  <si>
    <t>COUNTER SOBO</t>
  </si>
  <si>
    <t>MOH. NIAMULLOH</t>
  </si>
  <si>
    <t>KHORIDATUL BAHIYYAH</t>
  </si>
  <si>
    <t>MOH. NORIS</t>
  </si>
  <si>
    <t>SUKARTO</t>
  </si>
  <si>
    <t>MUHAMMAD FIRMANSYAH</t>
  </si>
  <si>
    <t>KEVIN NUGRAHA ANDIKA KURNIAWAN</t>
  </si>
  <si>
    <t>AHMAD ZACKY SAIFUDIN</t>
  </si>
  <si>
    <t>ANDI SISWOYO</t>
  </si>
  <si>
    <t>ARIFFAN SHAKTIAR YADI</t>
  </si>
  <si>
    <t>AHMAD KANI FUDIN</t>
  </si>
  <si>
    <t>HADI WIYONO</t>
  </si>
  <si>
    <t>ANNISA OKTAVIA PUTRI RAMADHANI</t>
  </si>
  <si>
    <t>AHMAD MUHAIMIN</t>
  </si>
  <si>
    <t>ROSID ASSARI</t>
  </si>
  <si>
    <t>ABDULLAH AINUL YAQIN</t>
  </si>
  <si>
    <t>KRISNA ADI DWINATA</t>
  </si>
  <si>
    <t>MOHAMMAD SAIFUL RIZAL</t>
  </si>
  <si>
    <t>ARIF SUJIAWAN</t>
  </si>
  <si>
    <t>MOH HASAN ARIFIN</t>
  </si>
  <si>
    <t>MOCH FEARDAUS NUZULA</t>
  </si>
  <si>
    <t>MEGANDI ANSORY</t>
  </si>
  <si>
    <t>ARY EKO PRASETYO</t>
  </si>
  <si>
    <t>AHMAD NISERUL UMAM</t>
  </si>
  <si>
    <t>NADHIR FAHMI KIROMI</t>
  </si>
  <si>
    <t>IIN BARIROH</t>
  </si>
  <si>
    <t>COUNTER SIAGA</t>
  </si>
  <si>
    <t>MIYA YUSMITA</t>
  </si>
  <si>
    <t>ERFA ALFIANA PUTRI</t>
  </si>
  <si>
    <t>NANU WIDODO</t>
  </si>
  <si>
    <t>KHOIRUL ANAM</t>
  </si>
  <si>
    <t>DIMAS EKA PRASANDI</t>
  </si>
  <si>
    <t>BAGAS RAHMAWAN</t>
  </si>
  <si>
    <t>MUHAMMAD ROUF FUDIN</t>
  </si>
  <si>
    <t>BANI NASRUM</t>
  </si>
  <si>
    <t>MUHAMAD NUR KHOLIS</t>
  </si>
  <si>
    <t>ALIF BUDI SATRIA</t>
  </si>
  <si>
    <t>ANIS APRIYANTO</t>
  </si>
  <si>
    <t>AHMAD JAMALUDIN</t>
  </si>
  <si>
    <t>TAUFIK</t>
  </si>
  <si>
    <t>DEWI RAHMATILLAH</t>
  </si>
  <si>
    <t>AHMAD ASHARI</t>
  </si>
  <si>
    <t>APRILIA ANISA NUR HASANAH</t>
  </si>
  <si>
    <t>MEI INDRI YANTI</t>
  </si>
  <si>
    <t>DANDI SUHERMAN</t>
  </si>
  <si>
    <t>TAUFIK RAHMAN</t>
  </si>
  <si>
    <t>ALVIND PUTRA ANUGRAH</t>
  </si>
  <si>
    <t>EKO PRASETYO WAHYUDI</t>
  </si>
  <si>
    <t>MARIO FERNANDO</t>
  </si>
  <si>
    <t>FERDIANTO ERIK EFENDI</t>
  </si>
  <si>
    <t>FIRDAUS</t>
  </si>
  <si>
    <t>DWI IMAS SATULKODILA</t>
  </si>
  <si>
    <t>FEBRIANSYAH</t>
  </si>
  <si>
    <t>DESTI TRI PURNAMASARI</t>
  </si>
  <si>
    <t>SYIFA KAMILAH PUTRI</t>
  </si>
  <si>
    <t>IMAM JUNAIDI</t>
  </si>
  <si>
    <t>MUHAMMAD ALIYUDDIN QODIR GHUFRON</t>
  </si>
  <si>
    <t>BAYU FIZALDI</t>
  </si>
  <si>
    <t>ABDUL HAFI</t>
  </si>
  <si>
    <t>ARIS</t>
  </si>
  <si>
    <t>ILHAM ALFAYUMI</t>
  </si>
  <si>
    <t>MAULANA ILHAM SODIQIN</t>
  </si>
  <si>
    <t>KHOIRUL UMAM</t>
  </si>
  <si>
    <t>TRIA DAMAYANTI</t>
  </si>
  <si>
    <t>COUNTER PANJI</t>
  </si>
  <si>
    <t>PRIJA GAYUH LAKSANA</t>
  </si>
  <si>
    <t>GUSNIA AMI KHUMAIRO</t>
  </si>
  <si>
    <t>AGISTA NELVIA RINDRA SUSANTO</t>
  </si>
  <si>
    <t>DELIMA ILUH DAMAYANTI</t>
  </si>
  <si>
    <t>SUDARSONO</t>
  </si>
  <si>
    <t>ZAINUL HANNAN</t>
  </si>
  <si>
    <t>ADLUL LATIF</t>
  </si>
  <si>
    <t>ZEN ABDUS SALAM</t>
  </si>
  <si>
    <t>FIRMAN AGUNG PRANATA</t>
  </si>
  <si>
    <t>SYAIHOL RIJAL</t>
  </si>
  <si>
    <t>MUHAMAD FERNANDO PUTRA SENKIN</t>
  </si>
  <si>
    <t>APRIYANTO</t>
  </si>
  <si>
    <t>NURYADI</t>
  </si>
  <si>
    <t>NOVAL RISKI FAUZAN</t>
  </si>
  <si>
    <t>HARIYANTO WIJAYA</t>
  </si>
  <si>
    <t>M.ISLAHUDIN ROMDLONI</t>
  </si>
  <si>
    <t>M. WILDAN MAULANA</t>
  </si>
  <si>
    <t>SELAMET RIZKI KURNIAWAN</t>
  </si>
  <si>
    <t>ANDI SUSILO</t>
  </si>
  <si>
    <t>ZIA FAHREZI AQILA</t>
  </si>
  <si>
    <t>AHMAD FAIZ DIMAS ARYA PUTRA</t>
  </si>
  <si>
    <t>ALUNG YOGA BRAMANTYA</t>
  </si>
  <si>
    <t>RUDI SAPUTRA</t>
  </si>
  <si>
    <t>SRI NURAINI</t>
  </si>
  <si>
    <t>IZZA NORMA SUFIANA ALI</t>
  </si>
  <si>
    <t>FERDI SUSANTO</t>
  </si>
  <si>
    <t>NADILATUL LATIFAH</t>
  </si>
  <si>
    <t>DIVA AURA MEILA</t>
  </si>
  <si>
    <t>ANDI JOHAN PRASTIYONO</t>
  </si>
  <si>
    <t>MUHAMMAD FIRDAUS</t>
  </si>
  <si>
    <t>FEBRIAN DWI SETYANA</t>
  </si>
  <si>
    <t>TIARA DEVIT ASARI</t>
  </si>
  <si>
    <t>ERWINSYAH</t>
  </si>
  <si>
    <t>QUEEN SAFIRA INDAH PRAHASTI</t>
  </si>
  <si>
    <t>KUNI MALA NURIL HIDAYAH</t>
  </si>
  <si>
    <t>SEPTIAN ARDANA</t>
  </si>
  <si>
    <t>AHMAD HUSNUDDAI</t>
  </si>
  <si>
    <t>MUSTOFA</t>
  </si>
  <si>
    <t>SITI NURUL HIDAYAH</t>
  </si>
  <si>
    <t>RIKI WAHYU ANGGARA</t>
  </si>
  <si>
    <t>PUTU ARIYA</t>
  </si>
  <si>
    <t>ILVAS YUNIARTO</t>
  </si>
  <si>
    <t>LUTHFI HAKIM</t>
  </si>
  <si>
    <t>ULFA PUSPITASARI</t>
  </si>
  <si>
    <t>M. ISLAHUDIN ROMDLONI</t>
  </si>
  <si>
    <t>SITI NURJANAH</t>
  </si>
  <si>
    <t>COUNTER SRONO</t>
  </si>
  <si>
    <t>DIMAS NUGROHO</t>
  </si>
  <si>
    <t>M. HAIDAR ALI ARJHA</t>
  </si>
  <si>
    <t>M. KHOLIPATUR ROSIDIN</t>
  </si>
  <si>
    <t>TAUFIQURRAHMAN EM-ES</t>
  </si>
  <si>
    <t>INDRA PRATAMA</t>
  </si>
  <si>
    <t>DAVID SANJAYA</t>
  </si>
  <si>
    <t>RIKA DWI ASTUTI</t>
  </si>
  <si>
    <t>COUNTER GIRI</t>
  </si>
  <si>
    <t>AISYAH DWI TRISSYANI</t>
  </si>
  <si>
    <t>MOHAMMAD DIDING V</t>
  </si>
  <si>
    <t>MOHAMMAD TAUFIKKUROHMAN</t>
  </si>
  <si>
    <t>SULIAMAN</t>
  </si>
  <si>
    <t>ANGGARA DWI APRIAWAN</t>
  </si>
  <si>
    <t>ONY PRIBADI</t>
  </si>
  <si>
    <t>RISKI ALVIAN</t>
  </si>
  <si>
    <t>ABDUL ASIS</t>
  </si>
  <si>
    <t>MUHAMMAD RISKIYANTO</t>
  </si>
  <si>
    <t>MUHAMMAD FAIZOL</t>
  </si>
  <si>
    <t>IZAN MAULANA</t>
  </si>
  <si>
    <t>MUHAMMAD HAMDAN WAHDI</t>
  </si>
  <si>
    <t>COUNTER BESUKI</t>
  </si>
  <si>
    <t>HAERUS SALEH</t>
  </si>
  <si>
    <t>YURIKE PRATIWI HANDAYANI</t>
  </si>
  <si>
    <t>LEDY SUSANTO</t>
  </si>
  <si>
    <t>ANIS QURLI</t>
  </si>
  <si>
    <t>JAMIL BASRI</t>
  </si>
  <si>
    <t>DEDY FIRDIANTO</t>
  </si>
  <si>
    <t>NAMA SALESMAN</t>
  </si>
  <si>
    <t>NAMA KOORDINATOR</t>
  </si>
  <si>
    <t>DWI FIRMANTO HADI</t>
  </si>
  <si>
    <t>FAZZIO STARRY NIGHT (BEJM00)</t>
  </si>
  <si>
    <t>FAZZIO SUNSET BLUE</t>
  </si>
  <si>
    <t>Y-FAZZIO-SUNSETB-BEJN00</t>
  </si>
  <si>
    <t>Y-R15-2PK4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</si>
</sst>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</font>
    <font>
      <sz val="8"/>
      <color indexed="8"/>
      <name val="Tahoma"/>
      <family val="2"/>
    </font>
    <font>
      <sz val="10"/>
      <color indexed="8"/>
      <name val="Calibri"/>
      <family val="2"/>
    </font>
    <font>
      <sz val="10"/>
      <name val="Times New Roman"/>
      <family val="1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double">
        <color indexed="64"/>
      </left>
      <right style="double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auto="1"/>
      </right>
      <top/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hair">
        <color auto="1"/>
      </top>
      <bottom/>
      <diagonal/>
    </border>
    <border>
      <left style="double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0" fontId="1" fillId="0" borderId="0"/>
  </cellStyleXfs>
  <cellXfs count="27">
    <xf numFmtId="0" fontId="0" fillId="0" borderId="0" xfId="0"/>
    <xf numFmtId="0" fontId="2" fillId="0" borderId="0" xfId="2" applyAlignment="1"/>
    <xf numFmtId="0" fontId="2" fillId="0" borderId="0" xfId="2">
      <alignment vertical="top"/>
    </xf>
    <xf numFmtId="9" fontId="0" fillId="0" borderId="0" xfId="1" applyFont="1"/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  <xf numFmtId="0" fontId="3" fillId="2" borderId="1" xfId="0" applyFont="1" applyFill="1" applyBorder="1" applyAlignment="1">
      <alignment horizontal="left" vertical="center" indent="1"/>
    </xf>
    <xf numFmtId="1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left" vertical="center" indent="1"/>
    </xf>
    <xf numFmtId="9" fontId="0" fillId="0" borderId="0" xfId="0" applyNumberFormat="1"/>
    <xf numFmtId="1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indent="1"/>
    </xf>
    <xf numFmtId="1" fontId="3" fillId="2" borderId="7" xfId="0" applyNumberFormat="1" applyFont="1" applyFill="1" applyBorder="1" applyAlignment="1">
      <alignment horizontal="center" vertical="center"/>
    </xf>
    <xf numFmtId="0" fontId="4" fillId="0" borderId="0" xfId="2" applyFo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6" fillId="0" borderId="8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0" xfId="3" applyAlignment="1"/>
    <xf numFmtId="0" fontId="0" fillId="0" borderId="0" xfId="3" applyFont="1" applyAlignment="1"/>
    <xf numFmtId="0" fontId="0" fillId="0" borderId="0" xfId="0" applyBorder="1" applyAlignment="1">
      <alignment vertical="top"/>
    </xf>
    <xf numFmtId="0" fontId="0" fillId="0" borderId="0" xfId="0" applyAlignment="1">
      <alignment horizontal="left" indent="1"/>
    </xf>
    <xf numFmtId="0" fontId="7" fillId="0" borderId="0" xfId="0" applyFont="1"/>
  </cellXfs>
  <cellStyles count="4">
    <cellStyle name="Normal" xfId="0" builtinId="0"/>
    <cellStyle name="Normal 3" xfId="2"/>
    <cellStyle name="Normal 3 2" xfId="3"/>
    <cellStyle name="Percent" xfId="1" builtinId="5"/>
  </cellStyles>
  <dxfs count="24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4"/>
  <sheetViews>
    <sheetView tabSelected="1" topLeftCell="A280" workbookViewId="0">
      <selection activeCell="B285" sqref="B285"/>
    </sheetView>
  </sheetViews>
  <sheetFormatPr defaultRowHeight="15" x14ac:dyDescent="0.25"/>
  <cols>
    <col min="1" max="1" width="60.7109375" style="1" bestFit="1" customWidth="1"/>
    <col min="2" max="2" width="9.140625" style="1"/>
    <col min="3" max="8" width="9.140625" style="2"/>
    <col min="9" max="9" width="31.42578125" style="2" bestFit="1" customWidth="1"/>
    <col min="10" max="10" width="9.140625" style="2"/>
    <col min="14" max="14" width="0" hidden="1" customWidth="1"/>
    <col min="15" max="15" width="0" style="3" hidden="1" customWidth="1"/>
    <col min="16" max="16" width="9.140625" style="3"/>
    <col min="31" max="31" width="31" style="16" bestFit="1" customWidth="1"/>
    <col min="32" max="32" width="9.140625" style="24"/>
  </cols>
  <sheetData>
    <row r="1" spans="1:32" x14ac:dyDescent="0.25">
      <c r="E1" s="2" t="s">
        <v>0</v>
      </c>
      <c r="AE1" s="16" t="s">
        <v>504</v>
      </c>
      <c r="AF1" s="24" t="s">
        <v>505</v>
      </c>
    </row>
    <row r="2" spans="1:32" x14ac:dyDescent="0.25">
      <c r="A2" s="1" t="s">
        <v>1</v>
      </c>
      <c r="B2" s="1" t="s">
        <v>2</v>
      </c>
      <c r="E2" s="2">
        <v>1</v>
      </c>
      <c r="F2" s="2" t="s">
        <v>3</v>
      </c>
      <c r="AE2" s="8" t="s">
        <v>329</v>
      </c>
      <c r="AF2" s="16" t="s">
        <v>330</v>
      </c>
    </row>
    <row r="3" spans="1:32" x14ac:dyDescent="0.25">
      <c r="A3" s="1" t="s">
        <v>4</v>
      </c>
      <c r="B3" s="1" t="s">
        <v>2</v>
      </c>
      <c r="E3" s="2">
        <v>2</v>
      </c>
      <c r="F3" s="2" t="s">
        <v>3</v>
      </c>
      <c r="I3" s="2" t="s">
        <v>5</v>
      </c>
      <c r="M3" t="s">
        <v>6</v>
      </c>
      <c r="N3" t="s">
        <v>7</v>
      </c>
      <c r="P3" s="3" t="s">
        <v>8</v>
      </c>
      <c r="AE3" s="8" t="s">
        <v>331</v>
      </c>
      <c r="AF3" s="16" t="s">
        <v>330</v>
      </c>
    </row>
    <row r="4" spans="1:32" x14ac:dyDescent="0.25">
      <c r="A4" s="1" t="s">
        <v>9</v>
      </c>
      <c r="B4" s="1" t="s">
        <v>2</v>
      </c>
      <c r="E4" s="2">
        <v>3</v>
      </c>
      <c r="F4" s="2" t="s">
        <v>3</v>
      </c>
      <c r="I4" s="2" t="s">
        <v>10</v>
      </c>
      <c r="M4" s="4">
        <v>1</v>
      </c>
      <c r="N4" s="5">
        <v>2</v>
      </c>
      <c r="O4" s="3">
        <f>N4/$N$35</f>
        <v>1.2461059190031153E-3</v>
      </c>
      <c r="P4" s="3">
        <f>O4</f>
        <v>1.2461059190031153E-3</v>
      </c>
      <c r="S4" s="6" t="s">
        <v>11</v>
      </c>
      <c r="T4" s="7">
        <v>25</v>
      </c>
      <c r="V4" s="8" t="s">
        <v>12</v>
      </c>
      <c r="W4" s="9" t="s">
        <v>13</v>
      </c>
      <c r="X4" s="9" t="s">
        <v>13</v>
      </c>
      <c r="AA4" t="s">
        <v>5</v>
      </c>
      <c r="AE4" s="8" t="s">
        <v>332</v>
      </c>
      <c r="AF4" t="s">
        <v>333</v>
      </c>
    </row>
    <row r="5" spans="1:32" x14ac:dyDescent="0.25">
      <c r="A5" s="1" t="s">
        <v>14</v>
      </c>
      <c r="B5" s="1" t="s">
        <v>2</v>
      </c>
      <c r="E5" s="2">
        <v>4</v>
      </c>
      <c r="F5" s="2" t="s">
        <v>3</v>
      </c>
      <c r="I5" s="2" t="s">
        <v>15</v>
      </c>
      <c r="J5" s="10" t="s">
        <v>15</v>
      </c>
      <c r="M5" s="4">
        <v>2</v>
      </c>
      <c r="N5" s="5">
        <v>13</v>
      </c>
      <c r="O5" s="3">
        <f t="shared" ref="O5:O35" si="0">N5/$N$35</f>
        <v>8.0996884735202498E-3</v>
      </c>
      <c r="P5" s="11">
        <f>O5</f>
        <v>8.0996884735202498E-3</v>
      </c>
      <c r="S5" s="9" t="s">
        <v>15</v>
      </c>
      <c r="T5" s="12">
        <v>45</v>
      </c>
      <c r="V5" s="8" t="s">
        <v>16</v>
      </c>
      <c r="W5" s="9" t="s">
        <v>15</v>
      </c>
      <c r="X5" s="9" t="s">
        <v>15</v>
      </c>
      <c r="AA5" s="8" t="s">
        <v>17</v>
      </c>
      <c r="AB5" t="s">
        <v>18</v>
      </c>
      <c r="AE5" s="8" t="s">
        <v>334</v>
      </c>
      <c r="AF5" t="s">
        <v>333</v>
      </c>
    </row>
    <row r="6" spans="1:32" x14ac:dyDescent="0.25">
      <c r="A6" s="1" t="s">
        <v>19</v>
      </c>
      <c r="B6" s="1" t="s">
        <v>2</v>
      </c>
      <c r="E6" s="2">
        <v>5</v>
      </c>
      <c r="F6" s="2" t="s">
        <v>3</v>
      </c>
      <c r="I6" s="2" t="s">
        <v>20</v>
      </c>
      <c r="M6" s="4">
        <v>3</v>
      </c>
      <c r="N6" s="5">
        <v>17</v>
      </c>
      <c r="O6" s="3">
        <f t="shared" si="0"/>
        <v>1.059190031152648E-2</v>
      </c>
      <c r="P6" s="11">
        <f>O6+P5</f>
        <v>1.8691588785046731E-2</v>
      </c>
      <c r="S6" s="9" t="s">
        <v>21</v>
      </c>
      <c r="T6" s="12">
        <v>25</v>
      </c>
      <c r="V6" s="8" t="s">
        <v>22</v>
      </c>
      <c r="W6" s="9" t="s">
        <v>23</v>
      </c>
      <c r="X6" s="9" t="s">
        <v>13</v>
      </c>
      <c r="AA6" s="8" t="s">
        <v>24</v>
      </c>
      <c r="AB6" t="s">
        <v>25</v>
      </c>
      <c r="AE6" s="8" t="s">
        <v>335</v>
      </c>
      <c r="AF6" s="17" t="s">
        <v>336</v>
      </c>
    </row>
    <row r="7" spans="1:32" x14ac:dyDescent="0.25">
      <c r="A7" s="1" t="s">
        <v>26</v>
      </c>
      <c r="B7" s="1" t="s">
        <v>2</v>
      </c>
      <c r="E7" s="2">
        <v>6</v>
      </c>
      <c r="F7" s="2" t="s">
        <v>3</v>
      </c>
      <c r="I7" s="2" t="s">
        <v>27</v>
      </c>
      <c r="J7" s="10" t="s">
        <v>11</v>
      </c>
      <c r="M7" s="4">
        <v>4</v>
      </c>
      <c r="N7" s="5">
        <v>51</v>
      </c>
      <c r="O7" s="3">
        <f t="shared" si="0"/>
        <v>3.1775700934579439E-2</v>
      </c>
      <c r="P7" s="11">
        <f t="shared" ref="P7:P34" si="1">O7+P6</f>
        <v>5.046728971962617E-2</v>
      </c>
      <c r="S7" s="9" t="s">
        <v>13</v>
      </c>
      <c r="T7" s="12">
        <v>85</v>
      </c>
      <c r="V7" s="8" t="s">
        <v>28</v>
      </c>
      <c r="W7" s="9" t="s">
        <v>29</v>
      </c>
      <c r="X7" s="9" t="s">
        <v>13</v>
      </c>
      <c r="AA7" s="8" t="s">
        <v>30</v>
      </c>
      <c r="AB7" t="s">
        <v>25</v>
      </c>
      <c r="AE7" s="8" t="s">
        <v>337</v>
      </c>
      <c r="AF7" s="17" t="s">
        <v>336</v>
      </c>
    </row>
    <row r="8" spans="1:32" x14ac:dyDescent="0.25">
      <c r="A8" s="1" t="s">
        <v>31</v>
      </c>
      <c r="B8" s="1" t="s">
        <v>2</v>
      </c>
      <c r="E8" s="2">
        <v>7</v>
      </c>
      <c r="F8" s="2" t="s">
        <v>3</v>
      </c>
      <c r="I8" s="2" t="s">
        <v>32</v>
      </c>
      <c r="L8" s="10"/>
      <c r="M8" s="4">
        <v>5</v>
      </c>
      <c r="N8" s="5">
        <v>46</v>
      </c>
      <c r="O8" s="3">
        <f t="shared" si="0"/>
        <v>2.866043613707165E-2</v>
      </c>
      <c r="P8" s="11">
        <f t="shared" si="1"/>
        <v>7.912772585669782E-2</v>
      </c>
      <c r="S8" s="9" t="s">
        <v>33</v>
      </c>
      <c r="T8" s="12">
        <v>70</v>
      </c>
      <c r="V8" s="8" t="s">
        <v>34</v>
      </c>
      <c r="W8" s="9" t="s">
        <v>35</v>
      </c>
      <c r="X8" s="9" t="s">
        <v>13</v>
      </c>
      <c r="AA8" s="8" t="s">
        <v>36</v>
      </c>
      <c r="AB8" t="s">
        <v>25</v>
      </c>
    </row>
    <row r="9" spans="1:32" x14ac:dyDescent="0.25">
      <c r="A9" s="1" t="s">
        <v>37</v>
      </c>
      <c r="B9" s="1" t="s">
        <v>2</v>
      </c>
      <c r="E9" s="2">
        <v>8</v>
      </c>
      <c r="F9" s="2" t="s">
        <v>38</v>
      </c>
      <c r="I9" s="2" t="s">
        <v>39</v>
      </c>
      <c r="M9" s="4">
        <v>6</v>
      </c>
      <c r="N9" s="5">
        <v>66</v>
      </c>
      <c r="O9" s="3">
        <f t="shared" si="0"/>
        <v>4.1121495327102804E-2</v>
      </c>
      <c r="P9" s="11">
        <f t="shared" si="1"/>
        <v>0.12024922118380063</v>
      </c>
      <c r="S9" s="9" t="s">
        <v>40</v>
      </c>
      <c r="T9" s="12">
        <v>40</v>
      </c>
      <c r="V9" s="8" t="s">
        <v>41</v>
      </c>
      <c r="W9" s="6" t="s">
        <v>11</v>
      </c>
      <c r="X9" s="6" t="s">
        <v>11</v>
      </c>
      <c r="AA9" s="8" t="s">
        <v>42</v>
      </c>
      <c r="AB9" t="s">
        <v>25</v>
      </c>
    </row>
    <row r="10" spans="1:32" x14ac:dyDescent="0.25">
      <c r="A10" s="1" t="s">
        <v>43</v>
      </c>
      <c r="B10" s="1" t="s">
        <v>44</v>
      </c>
      <c r="E10" s="2">
        <v>9</v>
      </c>
      <c r="F10" s="2" t="s">
        <v>38</v>
      </c>
      <c r="I10" s="2" t="s">
        <v>45</v>
      </c>
      <c r="L10" s="10"/>
      <c r="M10" s="4">
        <v>7</v>
      </c>
      <c r="N10" s="5">
        <v>92</v>
      </c>
      <c r="O10" s="3">
        <f t="shared" si="0"/>
        <v>5.73208722741433E-2</v>
      </c>
      <c r="P10" s="11">
        <f t="shared" si="1"/>
        <v>0.17757009345794394</v>
      </c>
      <c r="S10" s="13" t="s">
        <v>46</v>
      </c>
      <c r="T10" s="14">
        <v>80</v>
      </c>
      <c r="V10" s="8" t="s">
        <v>47</v>
      </c>
      <c r="W10" s="9" t="s">
        <v>40</v>
      </c>
      <c r="X10" s="9" t="s">
        <v>40</v>
      </c>
      <c r="AA10" s="8" t="s">
        <v>48</v>
      </c>
    </row>
    <row r="11" spans="1:32" x14ac:dyDescent="0.25">
      <c r="A11" s="1" t="s">
        <v>49</v>
      </c>
      <c r="B11" s="1" t="s">
        <v>50</v>
      </c>
      <c r="E11" s="2">
        <v>10</v>
      </c>
      <c r="F11" s="2" t="s">
        <v>38</v>
      </c>
      <c r="I11" s="2" t="s">
        <v>51</v>
      </c>
      <c r="J11" s="10" t="s">
        <v>21</v>
      </c>
      <c r="M11" s="4">
        <v>8</v>
      </c>
      <c r="N11" s="5">
        <v>50</v>
      </c>
      <c r="O11" s="3">
        <f t="shared" si="0"/>
        <v>3.1152647975077882E-2</v>
      </c>
      <c r="P11" s="11">
        <f t="shared" si="1"/>
        <v>0.20872274143302183</v>
      </c>
      <c r="V11" s="8" t="s">
        <v>52</v>
      </c>
      <c r="W11" s="9" t="s">
        <v>33</v>
      </c>
      <c r="X11" s="9" t="s">
        <v>33</v>
      </c>
      <c r="AE11" s="17" t="s">
        <v>338</v>
      </c>
      <c r="AF11" s="17" t="s">
        <v>339</v>
      </c>
    </row>
    <row r="12" spans="1:32" x14ac:dyDescent="0.25">
      <c r="A12" s="1" t="s">
        <v>53</v>
      </c>
      <c r="B12" s="1" t="s">
        <v>44</v>
      </c>
      <c r="E12" s="2">
        <v>11</v>
      </c>
      <c r="F12" s="2" t="s">
        <v>38</v>
      </c>
      <c r="I12" s="2" t="s">
        <v>54</v>
      </c>
      <c r="M12" s="4">
        <v>9</v>
      </c>
      <c r="N12" s="5">
        <v>57</v>
      </c>
      <c r="O12" s="3">
        <f t="shared" si="0"/>
        <v>3.5514018691588788E-2</v>
      </c>
      <c r="P12" s="11">
        <f t="shared" si="1"/>
        <v>0.24423676012461062</v>
      </c>
      <c r="V12" s="8" t="s">
        <v>55</v>
      </c>
      <c r="W12" s="13" t="s">
        <v>46</v>
      </c>
      <c r="X12" s="13" t="s">
        <v>46</v>
      </c>
      <c r="AE12" s="17" t="s">
        <v>340</v>
      </c>
      <c r="AF12" s="17" t="s">
        <v>339</v>
      </c>
    </row>
    <row r="13" spans="1:32" x14ac:dyDescent="0.25">
      <c r="A13" s="1" t="s">
        <v>56</v>
      </c>
      <c r="B13" s="1" t="s">
        <v>57</v>
      </c>
      <c r="E13" s="2">
        <v>12</v>
      </c>
      <c r="F13" s="2" t="s">
        <v>38</v>
      </c>
      <c r="I13" s="2" t="s">
        <v>58</v>
      </c>
      <c r="M13" s="4">
        <v>10</v>
      </c>
      <c r="N13" s="5">
        <v>76</v>
      </c>
      <c r="O13" s="3">
        <f t="shared" si="0"/>
        <v>4.7352024922118381E-2</v>
      </c>
      <c r="P13" s="11">
        <f t="shared" si="1"/>
        <v>0.29158878504672903</v>
      </c>
      <c r="V13" s="8" t="s">
        <v>59</v>
      </c>
      <c r="W13" s="13" t="s">
        <v>60</v>
      </c>
      <c r="X13" s="13" t="s">
        <v>46</v>
      </c>
      <c r="AE13" s="17" t="s">
        <v>341</v>
      </c>
      <c r="AF13" s="17" t="s">
        <v>339</v>
      </c>
    </row>
    <row r="14" spans="1:32" x14ac:dyDescent="0.25">
      <c r="A14" s="1" t="s">
        <v>61</v>
      </c>
      <c r="B14" s="1" t="s">
        <v>57</v>
      </c>
      <c r="E14" s="2">
        <v>13</v>
      </c>
      <c r="F14" s="2" t="s">
        <v>38</v>
      </c>
      <c r="I14" s="2" t="s">
        <v>62</v>
      </c>
      <c r="J14" s="10" t="s">
        <v>13</v>
      </c>
      <c r="M14" s="4">
        <v>11</v>
      </c>
      <c r="N14" s="5">
        <v>72</v>
      </c>
      <c r="O14" s="3">
        <f t="shared" si="0"/>
        <v>4.4859813084112146E-2</v>
      </c>
      <c r="P14" s="11">
        <f t="shared" si="1"/>
        <v>0.33644859813084116</v>
      </c>
      <c r="V14" s="8" t="s">
        <v>63</v>
      </c>
      <c r="W14" s="13" t="s">
        <v>64</v>
      </c>
      <c r="X14" s="13" t="s">
        <v>46</v>
      </c>
      <c r="AE14" s="17" t="s">
        <v>342</v>
      </c>
      <c r="AF14" s="17" t="s">
        <v>339</v>
      </c>
    </row>
    <row r="15" spans="1:32" x14ac:dyDescent="0.25">
      <c r="A15" s="1" t="s">
        <v>65</v>
      </c>
      <c r="B15" s="1" t="s">
        <v>57</v>
      </c>
      <c r="E15" s="2">
        <v>14</v>
      </c>
      <c r="F15" s="2" t="s">
        <v>38</v>
      </c>
      <c r="I15" s="2" t="s">
        <v>66</v>
      </c>
      <c r="M15" s="4">
        <v>12</v>
      </c>
      <c r="N15" s="5">
        <v>34</v>
      </c>
      <c r="O15" s="3">
        <f t="shared" si="0"/>
        <v>2.1183800623052959E-2</v>
      </c>
      <c r="P15" s="11">
        <f t="shared" si="1"/>
        <v>0.35763239875389413</v>
      </c>
      <c r="V15" s="8" t="s">
        <v>67</v>
      </c>
      <c r="W15" s="13" t="s">
        <v>68</v>
      </c>
      <c r="X15" s="13" t="s">
        <v>46</v>
      </c>
      <c r="AE15" s="17" t="s">
        <v>343</v>
      </c>
      <c r="AF15" s="17" t="s">
        <v>339</v>
      </c>
    </row>
    <row r="16" spans="1:32" x14ac:dyDescent="0.25">
      <c r="A16" s="1" t="s">
        <v>69</v>
      </c>
      <c r="B16" s="1" t="s">
        <v>50</v>
      </c>
      <c r="E16" s="2">
        <v>15</v>
      </c>
      <c r="F16" s="2" t="s">
        <v>70</v>
      </c>
      <c r="I16" s="2" t="s">
        <v>71</v>
      </c>
      <c r="J16" s="10" t="s">
        <v>33</v>
      </c>
      <c r="M16" s="4">
        <v>13</v>
      </c>
      <c r="N16" s="5">
        <v>66</v>
      </c>
      <c r="O16" s="3">
        <f t="shared" si="0"/>
        <v>4.1121495327102804E-2</v>
      </c>
      <c r="P16" s="11">
        <f t="shared" si="1"/>
        <v>0.39875389408099693</v>
      </c>
      <c r="V16" s="8" t="s">
        <v>72</v>
      </c>
      <c r="W16" s="9" t="s">
        <v>21</v>
      </c>
      <c r="X16" s="9" t="s">
        <v>21</v>
      </c>
      <c r="AE16" s="17" t="s">
        <v>344</v>
      </c>
      <c r="AF16" s="17" t="s">
        <v>345</v>
      </c>
    </row>
    <row r="17" spans="1:32" x14ac:dyDescent="0.25">
      <c r="A17" s="1" t="s">
        <v>73</v>
      </c>
      <c r="B17" s="1" t="s">
        <v>50</v>
      </c>
      <c r="E17" s="2">
        <v>16</v>
      </c>
      <c r="F17" s="2" t="s">
        <v>70</v>
      </c>
      <c r="I17" s="2" t="s">
        <v>74</v>
      </c>
      <c r="J17" s="10" t="s">
        <v>40</v>
      </c>
      <c r="M17" s="4">
        <v>14</v>
      </c>
      <c r="N17" s="5">
        <v>59</v>
      </c>
      <c r="O17" s="3">
        <f t="shared" si="0"/>
        <v>3.6760124610591902E-2</v>
      </c>
      <c r="P17" s="11">
        <f t="shared" si="1"/>
        <v>0.43551401869158884</v>
      </c>
      <c r="V17" t="s">
        <v>75</v>
      </c>
      <c r="W17" s="9" t="s">
        <v>76</v>
      </c>
      <c r="X17" s="9" t="s">
        <v>33</v>
      </c>
      <c r="AE17" s="17" t="s">
        <v>339</v>
      </c>
      <c r="AF17" s="17" t="s">
        <v>339</v>
      </c>
    </row>
    <row r="18" spans="1:32" x14ac:dyDescent="0.25">
      <c r="A18" s="1" t="s">
        <v>77</v>
      </c>
      <c r="B18" s="1" t="s">
        <v>78</v>
      </c>
      <c r="E18" s="2">
        <v>17</v>
      </c>
      <c r="F18" s="2" t="s">
        <v>70</v>
      </c>
      <c r="I18" s="2" t="s">
        <v>79</v>
      </c>
      <c r="J18" s="10" t="s">
        <v>46</v>
      </c>
      <c r="M18" s="4">
        <v>15</v>
      </c>
      <c r="N18" s="5">
        <v>71</v>
      </c>
      <c r="O18" s="3">
        <f t="shared" si="0"/>
        <v>4.4236760124610593E-2</v>
      </c>
      <c r="P18" s="11">
        <f t="shared" si="1"/>
        <v>0.47975077881619943</v>
      </c>
      <c r="AE18" s="17"/>
    </row>
    <row r="19" spans="1:32" x14ac:dyDescent="0.25">
      <c r="A19" s="1" t="s">
        <v>80</v>
      </c>
      <c r="B19" s="1" t="s">
        <v>78</v>
      </c>
      <c r="E19" s="2">
        <v>18</v>
      </c>
      <c r="F19" s="2" t="s">
        <v>70</v>
      </c>
      <c r="I19" s="2" t="s">
        <v>81</v>
      </c>
      <c r="M19" s="4">
        <v>16</v>
      </c>
      <c r="N19" s="5">
        <v>52</v>
      </c>
      <c r="O19" s="3">
        <f t="shared" si="0"/>
        <v>3.2398753894080999E-2</v>
      </c>
      <c r="P19" s="11">
        <f t="shared" si="1"/>
        <v>0.51214953271028041</v>
      </c>
      <c r="AE19" s="17" t="s">
        <v>346</v>
      </c>
    </row>
    <row r="20" spans="1:32" x14ac:dyDescent="0.25">
      <c r="A20" s="1" t="s">
        <v>82</v>
      </c>
      <c r="B20" s="1" t="s">
        <v>57</v>
      </c>
      <c r="E20" s="2">
        <v>19</v>
      </c>
      <c r="F20" s="2" t="s">
        <v>70</v>
      </c>
      <c r="I20" s="2" t="s">
        <v>83</v>
      </c>
      <c r="M20" s="4">
        <v>17</v>
      </c>
      <c r="N20" s="5">
        <v>38</v>
      </c>
      <c r="O20" s="3">
        <f t="shared" si="0"/>
        <v>2.3676012461059191E-2</v>
      </c>
      <c r="P20" s="11">
        <f t="shared" si="1"/>
        <v>0.53582554517133962</v>
      </c>
      <c r="AE20" s="17" t="s">
        <v>347</v>
      </c>
    </row>
    <row r="21" spans="1:32" x14ac:dyDescent="0.25">
      <c r="A21" s="1" t="s">
        <v>84</v>
      </c>
      <c r="B21" s="1" t="s">
        <v>57</v>
      </c>
      <c r="E21" s="2">
        <v>20</v>
      </c>
      <c r="F21" s="2" t="s">
        <v>70</v>
      </c>
      <c r="I21" s="2" t="s">
        <v>48</v>
      </c>
      <c r="M21" s="4">
        <v>18</v>
      </c>
      <c r="N21" s="5">
        <v>61</v>
      </c>
      <c r="O21" s="3">
        <f t="shared" si="0"/>
        <v>3.8006230529595016E-2</v>
      </c>
      <c r="P21" s="11">
        <f t="shared" si="1"/>
        <v>0.57383177570093469</v>
      </c>
      <c r="AE21" s="17" t="s">
        <v>348</v>
      </c>
    </row>
    <row r="22" spans="1:32" x14ac:dyDescent="0.25">
      <c r="A22" s="1" t="s">
        <v>85</v>
      </c>
      <c r="B22" s="1" t="s">
        <v>57</v>
      </c>
      <c r="E22" s="2">
        <v>21</v>
      </c>
      <c r="F22" s="2" t="s">
        <v>70</v>
      </c>
      <c r="M22" s="4">
        <v>19</v>
      </c>
      <c r="N22" s="5">
        <v>41</v>
      </c>
      <c r="O22" s="3">
        <f t="shared" si="0"/>
        <v>2.5545171339563862E-2</v>
      </c>
      <c r="P22" s="11">
        <f t="shared" si="1"/>
        <v>0.5993769470404986</v>
      </c>
      <c r="AE22" s="17" t="s">
        <v>349</v>
      </c>
    </row>
    <row r="23" spans="1:32" x14ac:dyDescent="0.25">
      <c r="A23" s="1" t="s">
        <v>86</v>
      </c>
      <c r="B23" s="1" t="s">
        <v>2</v>
      </c>
      <c r="E23" s="2">
        <v>22</v>
      </c>
      <c r="F23" s="2" t="s">
        <v>87</v>
      </c>
      <c r="I23" s="8" t="s">
        <v>88</v>
      </c>
      <c r="J23" s="10" t="s">
        <v>40</v>
      </c>
      <c r="M23" s="4">
        <v>20</v>
      </c>
      <c r="N23" s="5">
        <v>55</v>
      </c>
      <c r="O23" s="3">
        <f t="shared" si="0"/>
        <v>3.4267912772585667E-2</v>
      </c>
      <c r="P23" s="11">
        <f t="shared" si="1"/>
        <v>0.63364485981308427</v>
      </c>
      <c r="AE23" s="17" t="s">
        <v>350</v>
      </c>
    </row>
    <row r="24" spans="1:32" x14ac:dyDescent="0.25">
      <c r="A24" s="1" t="s">
        <v>89</v>
      </c>
      <c r="B24" s="1" t="s">
        <v>2</v>
      </c>
      <c r="E24" s="2">
        <v>23</v>
      </c>
      <c r="F24" s="2" t="s">
        <v>87</v>
      </c>
      <c r="I24" s="8" t="s">
        <v>90</v>
      </c>
      <c r="J24" s="10" t="s">
        <v>13</v>
      </c>
      <c r="M24" s="4">
        <v>21</v>
      </c>
      <c r="N24" s="5">
        <v>60</v>
      </c>
      <c r="O24" s="3">
        <f t="shared" si="0"/>
        <v>3.7383177570093455E-2</v>
      </c>
      <c r="P24" s="11">
        <f t="shared" si="1"/>
        <v>0.67102803738317773</v>
      </c>
      <c r="AE24" s="17" t="s">
        <v>351</v>
      </c>
    </row>
    <row r="25" spans="1:32" x14ac:dyDescent="0.25">
      <c r="A25" s="1" t="s">
        <v>91</v>
      </c>
      <c r="B25" s="1" t="s">
        <v>92</v>
      </c>
      <c r="E25" s="2">
        <v>24</v>
      </c>
      <c r="F25" s="2" t="s">
        <v>87</v>
      </c>
      <c r="I25" s="8" t="s">
        <v>93</v>
      </c>
      <c r="J25" s="10" t="s">
        <v>46</v>
      </c>
      <c r="M25" s="4">
        <v>22</v>
      </c>
      <c r="N25" s="5">
        <v>54</v>
      </c>
      <c r="O25" s="3">
        <f t="shared" si="0"/>
        <v>3.3644859813084113E-2</v>
      </c>
      <c r="P25" s="11">
        <f t="shared" si="1"/>
        <v>0.7046728971962618</v>
      </c>
      <c r="AE25" s="17" t="s">
        <v>352</v>
      </c>
    </row>
    <row r="26" spans="1:32" x14ac:dyDescent="0.25">
      <c r="A26" s="1" t="s">
        <v>94</v>
      </c>
      <c r="B26" s="1" t="s">
        <v>78</v>
      </c>
      <c r="E26" s="2">
        <v>25</v>
      </c>
      <c r="F26" s="2" t="s">
        <v>87</v>
      </c>
      <c r="I26" s="8" t="s">
        <v>95</v>
      </c>
      <c r="J26" s="10" t="s">
        <v>11</v>
      </c>
      <c r="M26" s="4">
        <v>23</v>
      </c>
      <c r="N26" s="5">
        <v>46</v>
      </c>
      <c r="O26" s="3">
        <f t="shared" si="0"/>
        <v>2.866043613707165E-2</v>
      </c>
      <c r="P26" s="11">
        <f t="shared" si="1"/>
        <v>0.7333333333333335</v>
      </c>
      <c r="AE26" s="17" t="s">
        <v>353</v>
      </c>
    </row>
    <row r="27" spans="1:32" x14ac:dyDescent="0.25">
      <c r="A27" s="1" t="s">
        <v>96</v>
      </c>
      <c r="B27" s="1" t="s">
        <v>2</v>
      </c>
      <c r="E27" s="2">
        <v>26</v>
      </c>
      <c r="F27" s="2" t="s">
        <v>87</v>
      </c>
      <c r="I27" s="8" t="s">
        <v>97</v>
      </c>
      <c r="J27" s="10" t="s">
        <v>33</v>
      </c>
      <c r="M27" s="4">
        <v>24</v>
      </c>
      <c r="N27" s="5">
        <v>52</v>
      </c>
      <c r="O27" s="3">
        <f t="shared" si="0"/>
        <v>3.2398753894080999E-2</v>
      </c>
      <c r="P27" s="11">
        <f t="shared" si="1"/>
        <v>0.76573208722741448</v>
      </c>
    </row>
    <row r="28" spans="1:32" x14ac:dyDescent="0.25">
      <c r="A28" s="1" t="s">
        <v>98</v>
      </c>
      <c r="B28" s="1" t="s">
        <v>92</v>
      </c>
      <c r="E28" s="2">
        <v>27</v>
      </c>
      <c r="F28" s="2" t="s">
        <v>87</v>
      </c>
      <c r="I28" s="8" t="s">
        <v>15</v>
      </c>
      <c r="J28" s="10" t="s">
        <v>15</v>
      </c>
      <c r="M28" s="4">
        <v>25</v>
      </c>
      <c r="N28" s="5">
        <v>40</v>
      </c>
      <c r="O28" s="3">
        <f t="shared" si="0"/>
        <v>2.4922118380062305E-2</v>
      </c>
      <c r="P28" s="11">
        <f t="shared" si="1"/>
        <v>0.79065420560747679</v>
      </c>
    </row>
    <row r="29" spans="1:32" x14ac:dyDescent="0.25">
      <c r="A29" s="1" t="s">
        <v>99</v>
      </c>
      <c r="B29" s="1" t="s">
        <v>44</v>
      </c>
      <c r="E29" s="2">
        <v>28</v>
      </c>
      <c r="F29" s="2" t="s">
        <v>87</v>
      </c>
      <c r="I29" s="8" t="s">
        <v>51</v>
      </c>
      <c r="J29" s="10" t="s">
        <v>21</v>
      </c>
      <c r="M29" s="4">
        <v>26</v>
      </c>
      <c r="N29" s="5">
        <v>44</v>
      </c>
      <c r="O29" s="3">
        <f t="shared" si="0"/>
        <v>2.7414330218068536E-2</v>
      </c>
      <c r="P29" s="11">
        <f t="shared" si="1"/>
        <v>0.81806853582554528</v>
      </c>
    </row>
    <row r="30" spans="1:32" x14ac:dyDescent="0.25">
      <c r="A30" s="1" t="s">
        <v>100</v>
      </c>
      <c r="B30" s="1" t="s">
        <v>2</v>
      </c>
      <c r="E30" s="2">
        <v>29</v>
      </c>
      <c r="F30" s="2" t="s">
        <v>87</v>
      </c>
      <c r="I30" s="2" t="s">
        <v>35</v>
      </c>
      <c r="J30" s="10" t="s">
        <v>13</v>
      </c>
      <c r="M30" s="4">
        <v>27</v>
      </c>
      <c r="N30" s="5">
        <v>42</v>
      </c>
      <c r="O30" s="3">
        <f t="shared" si="0"/>
        <v>2.6168224299065422E-2</v>
      </c>
      <c r="P30" s="11">
        <f t="shared" si="1"/>
        <v>0.84423676012461069</v>
      </c>
    </row>
    <row r="31" spans="1:32" x14ac:dyDescent="0.25">
      <c r="A31" s="15" t="s">
        <v>101</v>
      </c>
      <c r="B31" s="1" t="s">
        <v>2</v>
      </c>
      <c r="E31" s="2">
        <v>30</v>
      </c>
      <c r="F31" s="2" t="s">
        <v>87</v>
      </c>
      <c r="M31" s="4">
        <v>28</v>
      </c>
      <c r="N31" s="5">
        <v>60</v>
      </c>
      <c r="O31" s="3">
        <f t="shared" si="0"/>
        <v>3.7383177570093455E-2</v>
      </c>
      <c r="P31" s="11">
        <f t="shared" si="1"/>
        <v>0.88161993769470415</v>
      </c>
      <c r="AE31" s="17" t="s">
        <v>354</v>
      </c>
      <c r="AF31" s="17" t="s">
        <v>354</v>
      </c>
    </row>
    <row r="32" spans="1:32" x14ac:dyDescent="0.25">
      <c r="A32" s="15" t="s">
        <v>102</v>
      </c>
      <c r="B32" s="1" t="s">
        <v>2</v>
      </c>
      <c r="E32" s="2">
        <v>31</v>
      </c>
      <c r="F32" s="2" t="s">
        <v>87</v>
      </c>
      <c r="I32" s="10" t="s">
        <v>40</v>
      </c>
      <c r="J32" s="10" t="s">
        <v>40</v>
      </c>
      <c r="M32" s="4">
        <v>29</v>
      </c>
      <c r="N32" s="5">
        <v>60</v>
      </c>
      <c r="O32" s="3">
        <f t="shared" si="0"/>
        <v>3.7383177570093455E-2</v>
      </c>
      <c r="P32" s="11">
        <f t="shared" si="1"/>
        <v>0.91900311526479761</v>
      </c>
    </row>
    <row r="33" spans="1:32" x14ac:dyDescent="0.25">
      <c r="A33" s="15" t="s">
        <v>103</v>
      </c>
      <c r="B33" s="1" t="s">
        <v>2</v>
      </c>
      <c r="I33" s="10" t="s">
        <v>13</v>
      </c>
      <c r="J33" s="10" t="s">
        <v>13</v>
      </c>
      <c r="M33" s="4">
        <v>30</v>
      </c>
      <c r="N33" s="5">
        <v>128</v>
      </c>
      <c r="O33" s="3">
        <f t="shared" si="0"/>
        <v>7.975077881619938E-2</v>
      </c>
      <c r="P33" s="11">
        <f t="shared" si="1"/>
        <v>0.99875389408099702</v>
      </c>
      <c r="AE33" s="17" t="s">
        <v>355</v>
      </c>
      <c r="AF33" s="17" t="s">
        <v>354</v>
      </c>
    </row>
    <row r="34" spans="1:32" x14ac:dyDescent="0.25">
      <c r="A34" s="15" t="s">
        <v>104</v>
      </c>
      <c r="B34" s="1" t="s">
        <v>44</v>
      </c>
      <c r="I34" s="10" t="s">
        <v>46</v>
      </c>
      <c r="J34" s="10" t="s">
        <v>46</v>
      </c>
      <c r="M34" s="4">
        <v>31</v>
      </c>
      <c r="N34" s="16"/>
      <c r="O34" s="3">
        <f t="shared" si="0"/>
        <v>0</v>
      </c>
      <c r="P34" s="3">
        <f t="shared" si="1"/>
        <v>0.99875389408099702</v>
      </c>
      <c r="AE34" s="17" t="s">
        <v>356</v>
      </c>
      <c r="AF34" s="17" t="s">
        <v>354</v>
      </c>
    </row>
    <row r="35" spans="1:32" x14ac:dyDescent="0.25">
      <c r="A35" s="17" t="s">
        <v>105</v>
      </c>
      <c r="B35" s="1" t="s">
        <v>2</v>
      </c>
      <c r="I35" s="10" t="s">
        <v>11</v>
      </c>
      <c r="J35" s="10" t="s">
        <v>11</v>
      </c>
      <c r="M35" t="s">
        <v>48</v>
      </c>
      <c r="N35">
        <f>SUM(N4:N34)</f>
        <v>1605</v>
      </c>
      <c r="O35" s="3">
        <f t="shared" si="0"/>
        <v>1</v>
      </c>
      <c r="AE35" s="17" t="s">
        <v>357</v>
      </c>
      <c r="AF35" s="17" t="s">
        <v>354</v>
      </c>
    </row>
    <row r="36" spans="1:32" x14ac:dyDescent="0.25">
      <c r="A36" s="17" t="s">
        <v>106</v>
      </c>
      <c r="B36" s="1" t="s">
        <v>2</v>
      </c>
      <c r="I36" s="10" t="s">
        <v>33</v>
      </c>
      <c r="J36" s="10" t="s">
        <v>33</v>
      </c>
      <c r="AE36" s="17" t="s">
        <v>358</v>
      </c>
      <c r="AF36" s="17" t="s">
        <v>354</v>
      </c>
    </row>
    <row r="37" spans="1:32" x14ac:dyDescent="0.25">
      <c r="A37" s="17" t="s">
        <v>107</v>
      </c>
      <c r="B37" s="1" t="s">
        <v>2</v>
      </c>
      <c r="I37" s="10" t="s">
        <v>15</v>
      </c>
      <c r="J37" s="10" t="s">
        <v>15</v>
      </c>
      <c r="AE37" s="17" t="s">
        <v>359</v>
      </c>
      <c r="AF37" s="17" t="s">
        <v>354</v>
      </c>
    </row>
    <row r="38" spans="1:32" x14ac:dyDescent="0.25">
      <c r="A38" s="17" t="s">
        <v>108</v>
      </c>
      <c r="B38" s="1" t="s">
        <v>2</v>
      </c>
      <c r="I38" s="10" t="s">
        <v>21</v>
      </c>
      <c r="J38" s="10" t="s">
        <v>21</v>
      </c>
      <c r="AE38" s="17" t="s">
        <v>360</v>
      </c>
      <c r="AF38" s="17" t="s">
        <v>354</v>
      </c>
    </row>
    <row r="39" spans="1:32" x14ac:dyDescent="0.25">
      <c r="A39" s="18" t="s">
        <v>109</v>
      </c>
      <c r="B39" s="1" t="s">
        <v>92</v>
      </c>
      <c r="I39" s="10" t="s">
        <v>13</v>
      </c>
      <c r="J39" s="10" t="s">
        <v>13</v>
      </c>
      <c r="AE39" s="17" t="s">
        <v>361</v>
      </c>
      <c r="AF39" s="17" t="s">
        <v>354</v>
      </c>
    </row>
    <row r="40" spans="1:32" x14ac:dyDescent="0.25">
      <c r="A40" s="18" t="s">
        <v>110</v>
      </c>
      <c r="B40" s="1" t="s">
        <v>44</v>
      </c>
      <c r="AE40" s="17" t="s">
        <v>362</v>
      </c>
      <c r="AF40" s="17" t="s">
        <v>354</v>
      </c>
    </row>
    <row r="41" spans="1:32" x14ac:dyDescent="0.25">
      <c r="A41" s="17" t="s">
        <v>111</v>
      </c>
      <c r="B41" s="1" t="s">
        <v>57</v>
      </c>
      <c r="AE41" s="17" t="s">
        <v>363</v>
      </c>
      <c r="AF41" s="17" t="s">
        <v>354</v>
      </c>
    </row>
    <row r="42" spans="1:32" x14ac:dyDescent="0.25">
      <c r="A42" s="1" t="s">
        <v>112</v>
      </c>
      <c r="B42" s="1" t="s">
        <v>78</v>
      </c>
    </row>
    <row r="43" spans="1:32" x14ac:dyDescent="0.25">
      <c r="A43" s="17" t="s">
        <v>113</v>
      </c>
      <c r="B43" s="1" t="s">
        <v>2</v>
      </c>
      <c r="AE43" s="17" t="s">
        <v>364</v>
      </c>
      <c r="AF43" s="24" t="s">
        <v>365</v>
      </c>
    </row>
    <row r="44" spans="1:32" x14ac:dyDescent="0.25">
      <c r="A44" s="19" t="s">
        <v>114</v>
      </c>
      <c r="B44" s="1" t="s">
        <v>2</v>
      </c>
      <c r="AE44" s="17" t="s">
        <v>366</v>
      </c>
    </row>
    <row r="45" spans="1:32" x14ac:dyDescent="0.25">
      <c r="AE45" s="17" t="s">
        <v>367</v>
      </c>
    </row>
    <row r="46" spans="1:32" x14ac:dyDescent="0.25">
      <c r="A46" s="8" t="s">
        <v>78</v>
      </c>
      <c r="B46" s="1" t="s">
        <v>78</v>
      </c>
      <c r="C46"/>
      <c r="D46"/>
      <c r="AE46" s="17" t="s">
        <v>368</v>
      </c>
    </row>
    <row r="47" spans="1:32" x14ac:dyDescent="0.25">
      <c r="A47" s="8" t="s">
        <v>115</v>
      </c>
      <c r="B47" s="1" t="s">
        <v>2</v>
      </c>
      <c r="C47"/>
      <c r="D47"/>
      <c r="AE47" s="17" t="s">
        <v>369</v>
      </c>
    </row>
    <row r="48" spans="1:32" x14ac:dyDescent="0.25">
      <c r="A48" s="8" t="s">
        <v>116</v>
      </c>
      <c r="B48" s="1" t="s">
        <v>2</v>
      </c>
      <c r="C48"/>
      <c r="D48"/>
      <c r="AE48" s="17" t="s">
        <v>370</v>
      </c>
    </row>
    <row r="49" spans="1:32" x14ac:dyDescent="0.25">
      <c r="A49" s="8" t="s">
        <v>117</v>
      </c>
      <c r="B49" s="1" t="s">
        <v>50</v>
      </c>
      <c r="C49"/>
      <c r="D49"/>
      <c r="AE49" s="17" t="s">
        <v>371</v>
      </c>
    </row>
    <row r="50" spans="1:32" x14ac:dyDescent="0.25">
      <c r="A50" s="8" t="s">
        <v>118</v>
      </c>
      <c r="B50" s="1" t="s">
        <v>57</v>
      </c>
      <c r="C50"/>
      <c r="D50"/>
      <c r="AE50" s="17" t="s">
        <v>372</v>
      </c>
    </row>
    <row r="51" spans="1:32" x14ac:dyDescent="0.25">
      <c r="A51" s="8" t="s">
        <v>119</v>
      </c>
      <c r="B51" s="1" t="s">
        <v>92</v>
      </c>
      <c r="C51"/>
      <c r="D51"/>
      <c r="AE51" s="17" t="s">
        <v>373</v>
      </c>
    </row>
    <row r="52" spans="1:32" x14ac:dyDescent="0.25">
      <c r="A52" s="8" t="s">
        <v>120</v>
      </c>
      <c r="B52" s="1" t="s">
        <v>44</v>
      </c>
      <c r="C52"/>
      <c r="D52"/>
    </row>
    <row r="55" spans="1:32" x14ac:dyDescent="0.25">
      <c r="A55" s="8" t="s">
        <v>121</v>
      </c>
      <c r="B55" s="1" t="s">
        <v>2</v>
      </c>
    </row>
    <row r="56" spans="1:32" x14ac:dyDescent="0.25">
      <c r="A56" s="8" t="s">
        <v>122</v>
      </c>
      <c r="B56" s="1" t="s">
        <v>2</v>
      </c>
      <c r="AE56" s="17" t="s">
        <v>374</v>
      </c>
      <c r="AF56" s="17" t="s">
        <v>374</v>
      </c>
    </row>
    <row r="57" spans="1:32" x14ac:dyDescent="0.25">
      <c r="A57" s="8" t="s">
        <v>123</v>
      </c>
      <c r="B57" s="1" t="s">
        <v>2</v>
      </c>
      <c r="AE57" s="16" t="s">
        <v>375</v>
      </c>
      <c r="AF57" s="17" t="s">
        <v>376</v>
      </c>
    </row>
    <row r="58" spans="1:32" x14ac:dyDescent="0.25">
      <c r="A58" s="8" t="s">
        <v>124</v>
      </c>
      <c r="B58" s="1" t="s">
        <v>2</v>
      </c>
      <c r="AE58" s="17" t="s">
        <v>377</v>
      </c>
      <c r="AF58" s="17" t="s">
        <v>376</v>
      </c>
    </row>
    <row r="59" spans="1:32" x14ac:dyDescent="0.25">
      <c r="A59" s="8" t="s">
        <v>125</v>
      </c>
      <c r="B59" s="1" t="s">
        <v>2</v>
      </c>
      <c r="AE59" s="17" t="s">
        <v>378</v>
      </c>
      <c r="AF59" s="17" t="s">
        <v>376</v>
      </c>
    </row>
    <row r="60" spans="1:32" x14ac:dyDescent="0.25">
      <c r="A60" s="8" t="s">
        <v>126</v>
      </c>
      <c r="B60" s="1" t="s">
        <v>2</v>
      </c>
      <c r="AE60" s="17" t="s">
        <v>379</v>
      </c>
      <c r="AF60" s="17" t="s">
        <v>376</v>
      </c>
    </row>
    <row r="61" spans="1:32" x14ac:dyDescent="0.25">
      <c r="A61" s="8" t="s">
        <v>127</v>
      </c>
      <c r="B61" s="1" t="s">
        <v>2</v>
      </c>
      <c r="AE61" s="17" t="s">
        <v>380</v>
      </c>
      <c r="AF61" s="17" t="s">
        <v>376</v>
      </c>
    </row>
    <row r="62" spans="1:32" x14ac:dyDescent="0.25">
      <c r="A62" s="8" t="s">
        <v>128</v>
      </c>
      <c r="B62" s="1" t="s">
        <v>2</v>
      </c>
      <c r="AE62" s="17" t="s">
        <v>381</v>
      </c>
      <c r="AF62" s="17" t="s">
        <v>376</v>
      </c>
    </row>
    <row r="63" spans="1:32" x14ac:dyDescent="0.25">
      <c r="A63" s="8" t="s">
        <v>129</v>
      </c>
      <c r="B63" s="1" t="s">
        <v>2</v>
      </c>
      <c r="AE63" s="17" t="s">
        <v>382</v>
      </c>
      <c r="AF63" s="17" t="s">
        <v>374</v>
      </c>
    </row>
    <row r="64" spans="1:32" x14ac:dyDescent="0.25">
      <c r="A64" s="8" t="s">
        <v>130</v>
      </c>
      <c r="B64" s="1" t="s">
        <v>2</v>
      </c>
      <c r="AE64" s="17" t="s">
        <v>383</v>
      </c>
      <c r="AF64" s="17" t="s">
        <v>374</v>
      </c>
    </row>
    <row r="65" spans="1:32" x14ac:dyDescent="0.25">
      <c r="A65" s="8" t="s">
        <v>131</v>
      </c>
      <c r="B65" s="1" t="s">
        <v>2</v>
      </c>
      <c r="AE65" s="16" t="s">
        <v>384</v>
      </c>
      <c r="AF65" s="17" t="s">
        <v>374</v>
      </c>
    </row>
    <row r="66" spans="1:32" x14ac:dyDescent="0.25">
      <c r="A66" s="8" t="s">
        <v>132</v>
      </c>
      <c r="B66" s="1" t="s">
        <v>2</v>
      </c>
      <c r="AE66" s="16" t="s">
        <v>385</v>
      </c>
      <c r="AF66" s="17" t="s">
        <v>374</v>
      </c>
    </row>
    <row r="67" spans="1:32" x14ac:dyDescent="0.25">
      <c r="A67" s="8" t="s">
        <v>133</v>
      </c>
      <c r="B67" s="1" t="s">
        <v>2</v>
      </c>
      <c r="AE67" s="17" t="s">
        <v>386</v>
      </c>
      <c r="AF67" s="17" t="s">
        <v>374</v>
      </c>
    </row>
    <row r="68" spans="1:32" x14ac:dyDescent="0.25">
      <c r="A68" s="8" t="s">
        <v>134</v>
      </c>
      <c r="B68" s="1" t="s">
        <v>2</v>
      </c>
      <c r="AE68" s="17" t="s">
        <v>387</v>
      </c>
      <c r="AF68" s="17" t="s">
        <v>374</v>
      </c>
    </row>
    <row r="69" spans="1:32" x14ac:dyDescent="0.25">
      <c r="A69" s="8" t="s">
        <v>135</v>
      </c>
      <c r="B69" s="1" t="s">
        <v>2</v>
      </c>
      <c r="AE69" s="17" t="s">
        <v>388</v>
      </c>
      <c r="AF69" s="17" t="s">
        <v>374</v>
      </c>
    </row>
    <row r="70" spans="1:32" x14ac:dyDescent="0.25">
      <c r="A70" s="8" t="s">
        <v>136</v>
      </c>
      <c r="B70" s="1" t="s">
        <v>2</v>
      </c>
      <c r="AE70" s="17" t="s">
        <v>389</v>
      </c>
      <c r="AF70" s="17" t="s">
        <v>374</v>
      </c>
    </row>
    <row r="71" spans="1:32" x14ac:dyDescent="0.25">
      <c r="A71" s="8" t="s">
        <v>137</v>
      </c>
      <c r="B71" s="1" t="s">
        <v>2</v>
      </c>
    </row>
    <row r="72" spans="1:32" x14ac:dyDescent="0.25">
      <c r="A72" s="8" t="s">
        <v>138</v>
      </c>
      <c r="B72" s="1" t="s">
        <v>2</v>
      </c>
      <c r="AE72" s="17" t="s">
        <v>390</v>
      </c>
      <c r="AF72" s="24" t="s">
        <v>391</v>
      </c>
    </row>
    <row r="73" spans="1:32" x14ac:dyDescent="0.25">
      <c r="A73" s="8" t="s">
        <v>139</v>
      </c>
      <c r="B73" s="1" t="s">
        <v>44</v>
      </c>
      <c r="AE73" s="17" t="s">
        <v>392</v>
      </c>
    </row>
    <row r="74" spans="1:32" x14ac:dyDescent="0.25">
      <c r="A74" s="8" t="s">
        <v>140</v>
      </c>
      <c r="B74" s="1" t="s">
        <v>44</v>
      </c>
      <c r="AE74" s="17" t="s">
        <v>376</v>
      </c>
    </row>
    <row r="75" spans="1:32" x14ac:dyDescent="0.25">
      <c r="A75" s="8" t="s">
        <v>141</v>
      </c>
      <c r="B75" s="1" t="s">
        <v>44</v>
      </c>
      <c r="AE75" s="17" t="s">
        <v>393</v>
      </c>
    </row>
    <row r="76" spans="1:32" x14ac:dyDescent="0.25">
      <c r="A76" s="8" t="s">
        <v>142</v>
      </c>
      <c r="B76" s="1" t="s">
        <v>78</v>
      </c>
      <c r="AE76" s="17" t="s">
        <v>394</v>
      </c>
    </row>
    <row r="77" spans="1:32" x14ac:dyDescent="0.25">
      <c r="A77" s="8" t="s">
        <v>143</v>
      </c>
      <c r="B77" s="1" t="s">
        <v>44</v>
      </c>
      <c r="AE77" s="17" t="s">
        <v>395</v>
      </c>
    </row>
    <row r="78" spans="1:32" x14ac:dyDescent="0.25">
      <c r="A78" s="8" t="s">
        <v>144</v>
      </c>
      <c r="B78" s="1" t="s">
        <v>44</v>
      </c>
      <c r="AE78" s="17" t="s">
        <v>396</v>
      </c>
    </row>
    <row r="79" spans="1:32" x14ac:dyDescent="0.25">
      <c r="A79" s="8" t="s">
        <v>145</v>
      </c>
      <c r="B79" s="1" t="s">
        <v>50</v>
      </c>
      <c r="AE79" s="17" t="s">
        <v>397</v>
      </c>
    </row>
    <row r="80" spans="1:32" x14ac:dyDescent="0.25">
      <c r="A80" s="8" t="s">
        <v>146</v>
      </c>
      <c r="B80" s="1" t="s">
        <v>44</v>
      </c>
      <c r="AE80" s="17" t="s">
        <v>398</v>
      </c>
    </row>
    <row r="81" spans="1:32" x14ac:dyDescent="0.25">
      <c r="A81" s="8" t="s">
        <v>147</v>
      </c>
      <c r="B81" s="1" t="s">
        <v>57</v>
      </c>
      <c r="AE81" s="17" t="s">
        <v>399</v>
      </c>
    </row>
    <row r="82" spans="1:32" x14ac:dyDescent="0.25">
      <c r="A82" s="8" t="s">
        <v>148</v>
      </c>
      <c r="B82" s="1" t="s">
        <v>57</v>
      </c>
      <c r="AE82" s="17" t="s">
        <v>400</v>
      </c>
    </row>
    <row r="83" spans="1:32" x14ac:dyDescent="0.25">
      <c r="A83" s="8" t="s">
        <v>149</v>
      </c>
      <c r="B83" s="1" t="s">
        <v>57</v>
      </c>
    </row>
    <row r="84" spans="1:32" x14ac:dyDescent="0.25">
      <c r="A84" s="8" t="s">
        <v>150</v>
      </c>
      <c r="B84" s="1" t="s">
        <v>57</v>
      </c>
    </row>
    <row r="85" spans="1:32" x14ac:dyDescent="0.25">
      <c r="A85" s="8" t="s">
        <v>151</v>
      </c>
      <c r="B85" s="1" t="s">
        <v>57</v>
      </c>
    </row>
    <row r="86" spans="1:32" x14ac:dyDescent="0.25">
      <c r="A86" s="8" t="s">
        <v>65</v>
      </c>
      <c r="B86" s="1" t="s">
        <v>57</v>
      </c>
    </row>
    <row r="87" spans="1:32" x14ac:dyDescent="0.25">
      <c r="A87" s="8" t="s">
        <v>152</v>
      </c>
      <c r="B87" s="1" t="s">
        <v>57</v>
      </c>
      <c r="AE87" s="17"/>
      <c r="AF87" s="17"/>
    </row>
    <row r="88" spans="1:32" x14ac:dyDescent="0.25">
      <c r="A88" s="8" t="s">
        <v>153</v>
      </c>
      <c r="B88" s="1" t="s">
        <v>57</v>
      </c>
      <c r="AE88" s="17" t="s">
        <v>401</v>
      </c>
      <c r="AF88" s="17" t="s">
        <v>401</v>
      </c>
    </row>
    <row r="89" spans="1:32" x14ac:dyDescent="0.25">
      <c r="A89" s="8" t="s">
        <v>154</v>
      </c>
      <c r="B89" s="1" t="s">
        <v>57</v>
      </c>
      <c r="AE89" s="17" t="s">
        <v>336</v>
      </c>
      <c r="AF89" s="17" t="s">
        <v>336</v>
      </c>
    </row>
    <row r="90" spans="1:32" x14ac:dyDescent="0.25">
      <c r="A90" s="8" t="s">
        <v>155</v>
      </c>
      <c r="B90" s="1" t="s">
        <v>57</v>
      </c>
      <c r="AE90" s="17" t="s">
        <v>402</v>
      </c>
      <c r="AF90" s="17" t="s">
        <v>402</v>
      </c>
    </row>
    <row r="91" spans="1:32" x14ac:dyDescent="0.25">
      <c r="A91" s="8" t="s">
        <v>156</v>
      </c>
      <c r="B91" s="1" t="s">
        <v>50</v>
      </c>
      <c r="AE91" s="17" t="s">
        <v>403</v>
      </c>
      <c r="AF91" s="17" t="s">
        <v>403</v>
      </c>
    </row>
    <row r="92" spans="1:32" x14ac:dyDescent="0.25">
      <c r="A92" s="8" t="s">
        <v>157</v>
      </c>
      <c r="B92" s="1" t="s">
        <v>50</v>
      </c>
    </row>
    <row r="93" spans="1:32" x14ac:dyDescent="0.25">
      <c r="A93" s="8" t="s">
        <v>158</v>
      </c>
      <c r="B93" s="1" t="s">
        <v>50</v>
      </c>
      <c r="AE93" s="17" t="s">
        <v>404</v>
      </c>
      <c r="AF93" s="17" t="s">
        <v>401</v>
      </c>
    </row>
    <row r="94" spans="1:32" x14ac:dyDescent="0.25">
      <c r="A94" s="8" t="s">
        <v>159</v>
      </c>
      <c r="B94" s="1" t="s">
        <v>50</v>
      </c>
      <c r="AE94" s="17" t="s">
        <v>405</v>
      </c>
      <c r="AF94" s="17" t="s">
        <v>401</v>
      </c>
    </row>
    <row r="95" spans="1:32" x14ac:dyDescent="0.25">
      <c r="A95" s="8" t="s">
        <v>160</v>
      </c>
      <c r="B95" s="1" t="s">
        <v>78</v>
      </c>
      <c r="AE95" s="17" t="s">
        <v>406</v>
      </c>
      <c r="AF95" s="17" t="s">
        <v>401</v>
      </c>
    </row>
    <row r="96" spans="1:32" x14ac:dyDescent="0.25">
      <c r="A96" s="8" t="s">
        <v>161</v>
      </c>
      <c r="B96" s="1" t="s">
        <v>78</v>
      </c>
      <c r="AF96" s="17" t="s">
        <v>401</v>
      </c>
    </row>
    <row r="97" spans="1:32" x14ac:dyDescent="0.25">
      <c r="A97" s="8" t="s">
        <v>162</v>
      </c>
      <c r="B97" s="1" t="s">
        <v>57</v>
      </c>
      <c r="AF97" s="17" t="s">
        <v>401</v>
      </c>
    </row>
    <row r="98" spans="1:32" x14ac:dyDescent="0.25">
      <c r="A98" s="8" t="s">
        <v>163</v>
      </c>
      <c r="B98" s="1" t="s">
        <v>57</v>
      </c>
      <c r="AE98" s="17" t="s">
        <v>409</v>
      </c>
      <c r="AF98" s="17" t="s">
        <v>336</v>
      </c>
    </row>
    <row r="99" spans="1:32" x14ac:dyDescent="0.25">
      <c r="A99" s="8" t="s">
        <v>164</v>
      </c>
      <c r="B99" s="1" t="s">
        <v>57</v>
      </c>
      <c r="AE99" s="17" t="s">
        <v>410</v>
      </c>
      <c r="AF99" s="17" t="s">
        <v>336</v>
      </c>
    </row>
    <row r="100" spans="1:32" x14ac:dyDescent="0.25">
      <c r="A100" s="8" t="s">
        <v>165</v>
      </c>
      <c r="B100" s="1" t="s">
        <v>57</v>
      </c>
      <c r="AE100" s="17" t="s">
        <v>411</v>
      </c>
      <c r="AF100" s="17" t="s">
        <v>336</v>
      </c>
    </row>
    <row r="101" spans="1:32" x14ac:dyDescent="0.25">
      <c r="A101" s="8" t="s">
        <v>166</v>
      </c>
      <c r="B101" s="1" t="s">
        <v>57</v>
      </c>
      <c r="AE101" s="17" t="s">
        <v>412</v>
      </c>
      <c r="AF101" s="17" t="s">
        <v>336</v>
      </c>
    </row>
    <row r="102" spans="1:32" x14ac:dyDescent="0.25">
      <c r="A102" s="8" t="s">
        <v>85</v>
      </c>
      <c r="B102" s="1" t="s">
        <v>57</v>
      </c>
      <c r="AE102" s="17" t="s">
        <v>413</v>
      </c>
      <c r="AF102" s="17" t="s">
        <v>336</v>
      </c>
    </row>
    <row r="103" spans="1:32" x14ac:dyDescent="0.25">
      <c r="A103" s="8" t="s">
        <v>167</v>
      </c>
      <c r="B103" s="1" t="s">
        <v>92</v>
      </c>
      <c r="AE103" s="17" t="s">
        <v>414</v>
      </c>
      <c r="AF103" s="17" t="s">
        <v>336</v>
      </c>
    </row>
    <row r="104" spans="1:32" x14ac:dyDescent="0.25">
      <c r="A104" s="8" t="s">
        <v>168</v>
      </c>
      <c r="B104" s="1" t="s">
        <v>92</v>
      </c>
    </row>
    <row r="105" spans="1:32" x14ac:dyDescent="0.25">
      <c r="A105" s="8" t="s">
        <v>169</v>
      </c>
      <c r="B105" s="1" t="s">
        <v>2</v>
      </c>
      <c r="AE105" s="20" t="s">
        <v>407</v>
      </c>
      <c r="AF105" s="17" t="s">
        <v>402</v>
      </c>
    </row>
    <row r="106" spans="1:32" x14ac:dyDescent="0.25">
      <c r="A106" s="8" t="s">
        <v>170</v>
      </c>
      <c r="B106" s="1" t="s">
        <v>2</v>
      </c>
      <c r="AE106" s="17" t="s">
        <v>415</v>
      </c>
      <c r="AF106" s="17" t="s">
        <v>402</v>
      </c>
    </row>
    <row r="107" spans="1:32" x14ac:dyDescent="0.25">
      <c r="A107" s="8" t="s">
        <v>171</v>
      </c>
      <c r="B107" s="1" t="s">
        <v>2</v>
      </c>
      <c r="AE107" s="17" t="s">
        <v>416</v>
      </c>
      <c r="AF107" s="17" t="s">
        <v>402</v>
      </c>
    </row>
    <row r="108" spans="1:32" x14ac:dyDescent="0.25">
      <c r="A108" s="8" t="s">
        <v>172</v>
      </c>
      <c r="B108" s="1" t="s">
        <v>2</v>
      </c>
      <c r="AE108" s="17" t="s">
        <v>417</v>
      </c>
      <c r="AF108" s="17" t="s">
        <v>402</v>
      </c>
    </row>
    <row r="109" spans="1:32" x14ac:dyDescent="0.25">
      <c r="A109" s="8" t="s">
        <v>173</v>
      </c>
      <c r="B109" s="1" t="s">
        <v>78</v>
      </c>
      <c r="AE109" s="17" t="s">
        <v>418</v>
      </c>
      <c r="AF109" s="17" t="s">
        <v>402</v>
      </c>
    </row>
    <row r="110" spans="1:32" x14ac:dyDescent="0.25">
      <c r="A110" s="8" t="s">
        <v>174</v>
      </c>
      <c r="B110" s="1" t="s">
        <v>92</v>
      </c>
      <c r="AE110" s="17" t="s">
        <v>419</v>
      </c>
      <c r="AF110" s="17" t="s">
        <v>402</v>
      </c>
    </row>
    <row r="111" spans="1:32" x14ac:dyDescent="0.25">
      <c r="A111" s="8" t="s">
        <v>175</v>
      </c>
      <c r="B111" s="1" t="s">
        <v>92</v>
      </c>
      <c r="AE111" s="17" t="s">
        <v>420</v>
      </c>
      <c r="AF111" s="17" t="s">
        <v>402</v>
      </c>
    </row>
    <row r="112" spans="1:32" x14ac:dyDescent="0.25">
      <c r="A112" s="8" t="s">
        <v>176</v>
      </c>
      <c r="B112" s="1" t="s">
        <v>78</v>
      </c>
      <c r="AE112" s="17" t="s">
        <v>421</v>
      </c>
      <c r="AF112" s="17" t="s">
        <v>402</v>
      </c>
    </row>
    <row r="113" spans="1:32" x14ac:dyDescent="0.25">
      <c r="A113" s="8" t="s">
        <v>177</v>
      </c>
      <c r="B113" s="1" t="s">
        <v>2</v>
      </c>
      <c r="AE113" s="17" t="s">
        <v>422</v>
      </c>
      <c r="AF113" s="17" t="s">
        <v>402</v>
      </c>
    </row>
    <row r="114" spans="1:32" x14ac:dyDescent="0.25">
      <c r="A114" s="8" t="s">
        <v>178</v>
      </c>
      <c r="B114" s="1" t="s">
        <v>2</v>
      </c>
      <c r="AE114" s="25" t="s">
        <v>423</v>
      </c>
      <c r="AF114" s="17" t="s">
        <v>402</v>
      </c>
    </row>
    <row r="115" spans="1:32" x14ac:dyDescent="0.25">
      <c r="A115" s="8" t="s">
        <v>179</v>
      </c>
      <c r="B115" s="1" t="s">
        <v>2</v>
      </c>
      <c r="AE115" s="20" t="s">
        <v>408</v>
      </c>
      <c r="AF115" s="17" t="s">
        <v>402</v>
      </c>
    </row>
    <row r="116" spans="1:32" x14ac:dyDescent="0.25">
      <c r="A116" s="8" t="s">
        <v>180</v>
      </c>
      <c r="B116" s="1" t="s">
        <v>2</v>
      </c>
    </row>
    <row r="117" spans="1:32" x14ac:dyDescent="0.25">
      <c r="A117" s="8" t="s">
        <v>181</v>
      </c>
      <c r="B117" s="1" t="s">
        <v>2</v>
      </c>
      <c r="AE117" s="17" t="s">
        <v>424</v>
      </c>
      <c r="AF117" s="17" t="s">
        <v>403</v>
      </c>
    </row>
    <row r="118" spans="1:32" x14ac:dyDescent="0.25">
      <c r="A118" s="8" t="s">
        <v>182</v>
      </c>
      <c r="B118" s="1" t="s">
        <v>2</v>
      </c>
      <c r="AE118" s="17" t="s">
        <v>425</v>
      </c>
      <c r="AF118" s="17" t="s">
        <v>403</v>
      </c>
    </row>
    <row r="119" spans="1:32" x14ac:dyDescent="0.25">
      <c r="A119" s="8" t="s">
        <v>183</v>
      </c>
      <c r="B119" s="1" t="s">
        <v>2</v>
      </c>
      <c r="AE119" s="17" t="s">
        <v>426</v>
      </c>
      <c r="AF119" s="17" t="s">
        <v>403</v>
      </c>
    </row>
    <row r="120" spans="1:32" x14ac:dyDescent="0.25">
      <c r="A120" s="8" t="s">
        <v>184</v>
      </c>
      <c r="B120" s="1" t="s">
        <v>2</v>
      </c>
      <c r="AE120" s="17" t="s">
        <v>427</v>
      </c>
      <c r="AF120" s="17" t="s">
        <v>403</v>
      </c>
    </row>
    <row r="121" spans="1:32" x14ac:dyDescent="0.25">
      <c r="A121" s="8" t="s">
        <v>185</v>
      </c>
      <c r="B121" s="1" t="s">
        <v>44</v>
      </c>
    </row>
    <row r="122" spans="1:32" x14ac:dyDescent="0.25">
      <c r="A122" s="8" t="s">
        <v>186</v>
      </c>
      <c r="B122" s="1" t="s">
        <v>44</v>
      </c>
      <c r="AE122" s="17" t="s">
        <v>428</v>
      </c>
      <c r="AF122" s="24" t="s">
        <v>429</v>
      </c>
    </row>
    <row r="123" spans="1:32" x14ac:dyDescent="0.25">
      <c r="A123" s="8" t="s">
        <v>187</v>
      </c>
      <c r="B123" s="1" t="s">
        <v>44</v>
      </c>
      <c r="AE123" s="17" t="s">
        <v>430</v>
      </c>
    </row>
    <row r="124" spans="1:32" x14ac:dyDescent="0.25">
      <c r="A124" s="8" t="s">
        <v>188</v>
      </c>
      <c r="B124" s="1" t="s">
        <v>44</v>
      </c>
      <c r="AE124" s="17" t="s">
        <v>431</v>
      </c>
    </row>
    <row r="125" spans="1:32" x14ac:dyDescent="0.25">
      <c r="A125" s="8" t="s">
        <v>189</v>
      </c>
      <c r="B125" s="1" t="s">
        <v>44</v>
      </c>
      <c r="AE125" s="17" t="s">
        <v>432</v>
      </c>
    </row>
    <row r="126" spans="1:32" x14ac:dyDescent="0.25">
      <c r="A126" s="8" t="s">
        <v>190</v>
      </c>
      <c r="B126" s="1" t="s">
        <v>44</v>
      </c>
      <c r="AE126" s="17" t="s">
        <v>433</v>
      </c>
    </row>
    <row r="127" spans="1:32" x14ac:dyDescent="0.25">
      <c r="A127" s="8" t="s">
        <v>191</v>
      </c>
      <c r="B127" s="1" t="s">
        <v>44</v>
      </c>
      <c r="AE127" s="17" t="s">
        <v>434</v>
      </c>
    </row>
    <row r="128" spans="1:32" x14ac:dyDescent="0.25">
      <c r="A128" s="8" t="s">
        <v>192</v>
      </c>
      <c r="B128" s="1" t="s">
        <v>50</v>
      </c>
      <c r="AE128" s="17" t="s">
        <v>435</v>
      </c>
    </row>
    <row r="129" spans="1:32" x14ac:dyDescent="0.25">
      <c r="A129" s="8" t="s">
        <v>193</v>
      </c>
      <c r="B129" s="1" t="s">
        <v>2</v>
      </c>
      <c r="AE129" s="17" t="s">
        <v>436</v>
      </c>
    </row>
    <row r="130" spans="1:32" x14ac:dyDescent="0.25">
      <c r="A130" s="8" t="s">
        <v>194</v>
      </c>
      <c r="B130" s="1" t="s">
        <v>2</v>
      </c>
      <c r="AE130" s="17" t="s">
        <v>437</v>
      </c>
    </row>
    <row r="131" spans="1:32" x14ac:dyDescent="0.25">
      <c r="A131" s="8" t="s">
        <v>195</v>
      </c>
      <c r="B131" s="1" t="s">
        <v>2</v>
      </c>
      <c r="AE131" s="17" t="s">
        <v>438</v>
      </c>
    </row>
    <row r="132" spans="1:32" x14ac:dyDescent="0.25">
      <c r="A132" s="8" t="s">
        <v>196</v>
      </c>
      <c r="B132" s="1" t="s">
        <v>44</v>
      </c>
      <c r="AE132" s="17" t="s">
        <v>439</v>
      </c>
    </row>
    <row r="133" spans="1:32" x14ac:dyDescent="0.25">
      <c r="A133" s="8" t="s">
        <v>197</v>
      </c>
      <c r="B133" s="1" t="s">
        <v>2</v>
      </c>
      <c r="AE133" s="17" t="s">
        <v>440</v>
      </c>
    </row>
    <row r="134" spans="1:32" x14ac:dyDescent="0.25">
      <c r="A134" s="8" t="s">
        <v>198</v>
      </c>
      <c r="B134" s="1" t="s">
        <v>2</v>
      </c>
      <c r="AE134" s="17" t="s">
        <v>441</v>
      </c>
    </row>
    <row r="135" spans="1:32" x14ac:dyDescent="0.25">
      <c r="A135" s="8" t="s">
        <v>199</v>
      </c>
      <c r="B135" s="1" t="s">
        <v>2</v>
      </c>
      <c r="AE135" s="17" t="s">
        <v>442</v>
      </c>
    </row>
    <row r="136" spans="1:32" x14ac:dyDescent="0.25">
      <c r="A136" s="8" t="s">
        <v>200</v>
      </c>
      <c r="B136" s="1" t="s">
        <v>2</v>
      </c>
      <c r="AE136" s="17" t="s">
        <v>443</v>
      </c>
    </row>
    <row r="137" spans="1:32" x14ac:dyDescent="0.25">
      <c r="A137" s="8" t="s">
        <v>201</v>
      </c>
      <c r="B137" s="1" t="s">
        <v>44</v>
      </c>
      <c r="AE137" s="17" t="s">
        <v>444</v>
      </c>
    </row>
    <row r="138" spans="1:32" x14ac:dyDescent="0.25">
      <c r="A138" s="8" t="s">
        <v>202</v>
      </c>
      <c r="B138" s="1" t="s">
        <v>57</v>
      </c>
    </row>
    <row r="139" spans="1:32" x14ac:dyDescent="0.25">
      <c r="A139" s="8" t="s">
        <v>203</v>
      </c>
      <c r="B139" s="1" t="s">
        <v>92</v>
      </c>
    </row>
    <row r="140" spans="1:32" x14ac:dyDescent="0.25">
      <c r="A140" s="8" t="s">
        <v>204</v>
      </c>
      <c r="B140" s="1" t="s">
        <v>92</v>
      </c>
    </row>
    <row r="141" spans="1:32" x14ac:dyDescent="0.25">
      <c r="A141" s="8" t="s">
        <v>205</v>
      </c>
      <c r="B141" s="1" t="s">
        <v>2</v>
      </c>
    </row>
    <row r="142" spans="1:32" x14ac:dyDescent="0.25">
      <c r="A142" s="17" t="s">
        <v>206</v>
      </c>
      <c r="B142" s="1" t="s">
        <v>78</v>
      </c>
      <c r="AE142" s="16" t="s">
        <v>445</v>
      </c>
      <c r="AF142" s="17" t="s">
        <v>446</v>
      </c>
    </row>
    <row r="143" spans="1:32" x14ac:dyDescent="0.25">
      <c r="A143" s="17" t="s">
        <v>207</v>
      </c>
      <c r="B143" s="1" t="s">
        <v>78</v>
      </c>
      <c r="AE143" s="17" t="s">
        <v>333</v>
      </c>
      <c r="AF143" s="17" t="s">
        <v>333</v>
      </c>
    </row>
    <row r="144" spans="1:32" x14ac:dyDescent="0.25">
      <c r="A144" t="s">
        <v>208</v>
      </c>
      <c r="B144" s="1" t="s">
        <v>2</v>
      </c>
      <c r="AE144" s="17" t="s">
        <v>447</v>
      </c>
      <c r="AF144" s="17" t="s">
        <v>447</v>
      </c>
    </row>
    <row r="145" spans="1:32" x14ac:dyDescent="0.25">
      <c r="A145" t="s">
        <v>209</v>
      </c>
      <c r="B145" s="1" t="s">
        <v>78</v>
      </c>
      <c r="AE145" s="17" t="s">
        <v>448</v>
      </c>
      <c r="AF145" s="17" t="s">
        <v>448</v>
      </c>
    </row>
    <row r="146" spans="1:32" x14ac:dyDescent="0.25">
      <c r="A146" t="s">
        <v>210</v>
      </c>
      <c r="B146" s="1" t="s">
        <v>2</v>
      </c>
      <c r="AE146" s="17" t="s">
        <v>446</v>
      </c>
      <c r="AF146" s="17" t="s">
        <v>446</v>
      </c>
    </row>
    <row r="147" spans="1:32" x14ac:dyDescent="0.25">
      <c r="A147" t="s">
        <v>211</v>
      </c>
      <c r="B147" s="1" t="s">
        <v>2</v>
      </c>
      <c r="AE147" s="17" t="s">
        <v>449</v>
      </c>
      <c r="AF147" s="17" t="s">
        <v>446</v>
      </c>
    </row>
    <row r="148" spans="1:32" x14ac:dyDescent="0.25">
      <c r="A148" t="s">
        <v>212</v>
      </c>
      <c r="B148" s="1" t="s">
        <v>92</v>
      </c>
      <c r="AE148" s="17" t="s">
        <v>450</v>
      </c>
      <c r="AF148" s="17" t="s">
        <v>446</v>
      </c>
    </row>
    <row r="149" spans="1:32" x14ac:dyDescent="0.25">
      <c r="A149" t="s">
        <v>213</v>
      </c>
      <c r="B149" s="1" t="s">
        <v>78</v>
      </c>
      <c r="AE149" s="17" t="s">
        <v>451</v>
      </c>
      <c r="AF149" s="17" t="s">
        <v>446</v>
      </c>
    </row>
    <row r="150" spans="1:32" x14ac:dyDescent="0.25">
      <c r="A150" s="20" t="s">
        <v>214</v>
      </c>
      <c r="B150" s="1" t="s">
        <v>78</v>
      </c>
      <c r="AE150" s="17" t="s">
        <v>452</v>
      </c>
      <c r="AF150" s="17" t="s">
        <v>333</v>
      </c>
    </row>
    <row r="151" spans="1:32" x14ac:dyDescent="0.25">
      <c r="A151" s="20" t="s">
        <v>215</v>
      </c>
      <c r="B151" s="1" t="s">
        <v>78</v>
      </c>
      <c r="AE151" s="17" t="s">
        <v>453</v>
      </c>
      <c r="AF151" s="17" t="s">
        <v>446</v>
      </c>
    </row>
    <row r="152" spans="1:32" x14ac:dyDescent="0.25">
      <c r="A152" s="8" t="s">
        <v>216</v>
      </c>
      <c r="B152" s="1" t="s">
        <v>2</v>
      </c>
      <c r="AE152" s="17" t="s">
        <v>454</v>
      </c>
      <c r="AF152" s="17" t="s">
        <v>446</v>
      </c>
    </row>
    <row r="153" spans="1:32" x14ac:dyDescent="0.25">
      <c r="A153" s="8" t="s">
        <v>217</v>
      </c>
      <c r="B153" s="1" t="s">
        <v>2</v>
      </c>
    </row>
    <row r="154" spans="1:32" x14ac:dyDescent="0.25">
      <c r="A154" s="8" t="s">
        <v>218</v>
      </c>
      <c r="B154" s="1" t="s">
        <v>44</v>
      </c>
      <c r="AE154" s="17" t="s">
        <v>455</v>
      </c>
      <c r="AF154" s="17" t="s">
        <v>333</v>
      </c>
    </row>
    <row r="155" spans="1:32" x14ac:dyDescent="0.25">
      <c r="A155" s="8" t="s">
        <v>219</v>
      </c>
      <c r="B155" s="1" t="s">
        <v>44</v>
      </c>
      <c r="AE155" s="17" t="s">
        <v>456</v>
      </c>
      <c r="AF155" s="17" t="s">
        <v>333</v>
      </c>
    </row>
    <row r="156" spans="1:32" x14ac:dyDescent="0.25">
      <c r="A156" s="8" t="s">
        <v>220</v>
      </c>
      <c r="B156" s="1" t="s">
        <v>44</v>
      </c>
      <c r="AE156" s="17" t="s">
        <v>457</v>
      </c>
      <c r="AF156" s="17" t="s">
        <v>333</v>
      </c>
    </row>
    <row r="157" spans="1:32" x14ac:dyDescent="0.25">
      <c r="A157" s="8" t="s">
        <v>221</v>
      </c>
      <c r="B157" s="1" t="s">
        <v>78</v>
      </c>
      <c r="AE157" s="17" t="s">
        <v>458</v>
      </c>
      <c r="AF157" s="17" t="s">
        <v>333</v>
      </c>
    </row>
    <row r="158" spans="1:32" x14ac:dyDescent="0.25">
      <c r="A158" s="8" t="s">
        <v>222</v>
      </c>
      <c r="B158" s="1" t="s">
        <v>44</v>
      </c>
      <c r="AE158" s="20" t="s">
        <v>459</v>
      </c>
      <c r="AF158" s="17" t="s">
        <v>333</v>
      </c>
    </row>
    <row r="159" spans="1:32" x14ac:dyDescent="0.25">
      <c r="A159" s="8" t="s">
        <v>223</v>
      </c>
      <c r="B159" s="1" t="s">
        <v>44</v>
      </c>
    </row>
    <row r="160" spans="1:32" x14ac:dyDescent="0.25">
      <c r="A160" s="8" t="s">
        <v>224</v>
      </c>
      <c r="B160" s="1" t="s">
        <v>44</v>
      </c>
      <c r="AE160" s="17" t="s">
        <v>460</v>
      </c>
      <c r="AF160" s="17" t="s">
        <v>447</v>
      </c>
    </row>
    <row r="161" spans="1:32" x14ac:dyDescent="0.25">
      <c r="A161" s="8" t="s">
        <v>225</v>
      </c>
      <c r="B161" s="1" t="s">
        <v>57</v>
      </c>
      <c r="AE161" s="17" t="s">
        <v>461</v>
      </c>
      <c r="AF161" s="17" t="s">
        <v>447</v>
      </c>
    </row>
    <row r="162" spans="1:32" x14ac:dyDescent="0.25">
      <c r="A162" s="8" t="s">
        <v>226</v>
      </c>
      <c r="B162" s="1" t="s">
        <v>92</v>
      </c>
      <c r="AE162" s="17" t="s">
        <v>462</v>
      </c>
      <c r="AF162" s="17" t="s">
        <v>447</v>
      </c>
    </row>
    <row r="163" spans="1:32" x14ac:dyDescent="0.25">
      <c r="A163" s="8" t="s">
        <v>227</v>
      </c>
      <c r="B163" s="1" t="s">
        <v>50</v>
      </c>
      <c r="AE163" s="17" t="s">
        <v>463</v>
      </c>
      <c r="AF163" s="17" t="s">
        <v>447</v>
      </c>
    </row>
    <row r="164" spans="1:32" x14ac:dyDescent="0.25">
      <c r="A164" s="8" t="s">
        <v>228</v>
      </c>
      <c r="B164" s="1" t="s">
        <v>78</v>
      </c>
      <c r="AE164" s="17" t="s">
        <v>464</v>
      </c>
      <c r="AF164" s="17" t="s">
        <v>447</v>
      </c>
    </row>
    <row r="165" spans="1:32" x14ac:dyDescent="0.25">
      <c r="A165" s="8" t="s">
        <v>229</v>
      </c>
      <c r="B165" s="1" t="s">
        <v>92</v>
      </c>
      <c r="AE165" s="17" t="s">
        <v>465</v>
      </c>
      <c r="AF165" s="17" t="s">
        <v>447</v>
      </c>
    </row>
    <row r="166" spans="1:32" x14ac:dyDescent="0.25">
      <c r="A166" s="8" t="s">
        <v>230</v>
      </c>
      <c r="B166" s="1" t="s">
        <v>92</v>
      </c>
      <c r="AE166" s="17" t="s">
        <v>466</v>
      </c>
      <c r="AF166" s="17" t="s">
        <v>447</v>
      </c>
    </row>
    <row r="167" spans="1:32" x14ac:dyDescent="0.25">
      <c r="A167" s="8" t="s">
        <v>231</v>
      </c>
      <c r="B167" s="1" t="s">
        <v>92</v>
      </c>
      <c r="AE167" s="25" t="s">
        <v>467</v>
      </c>
      <c r="AF167" s="17" t="s">
        <v>448</v>
      </c>
    </row>
    <row r="168" spans="1:32" x14ac:dyDescent="0.25">
      <c r="A168" s="8" t="s">
        <v>232</v>
      </c>
      <c r="AE168" s="25" t="s">
        <v>468</v>
      </c>
      <c r="AF168" s="17" t="s">
        <v>448</v>
      </c>
    </row>
    <row r="169" spans="1:32" x14ac:dyDescent="0.25">
      <c r="A169" s="8" t="s">
        <v>233</v>
      </c>
      <c r="B169" s="1" t="s">
        <v>50</v>
      </c>
      <c r="AE169" s="17" t="s">
        <v>469</v>
      </c>
      <c r="AF169" s="17" t="s">
        <v>448</v>
      </c>
    </row>
    <row r="170" spans="1:32" x14ac:dyDescent="0.25">
      <c r="A170" s="8" t="s">
        <v>234</v>
      </c>
      <c r="B170" s="1" t="s">
        <v>50</v>
      </c>
      <c r="AE170" s="17" t="s">
        <v>470</v>
      </c>
      <c r="AF170" s="17" t="s">
        <v>448</v>
      </c>
    </row>
    <row r="171" spans="1:32" x14ac:dyDescent="0.25">
      <c r="A171" s="8" t="s">
        <v>235</v>
      </c>
      <c r="B171" s="1" t="s">
        <v>50</v>
      </c>
      <c r="AE171" s="17" t="s">
        <v>471</v>
      </c>
      <c r="AF171" s="17" t="s">
        <v>448</v>
      </c>
    </row>
    <row r="172" spans="1:32" x14ac:dyDescent="0.25">
      <c r="A172" s="8" t="s">
        <v>236</v>
      </c>
      <c r="B172" s="1" t="s">
        <v>50</v>
      </c>
      <c r="AE172" s="17" t="s">
        <v>472</v>
      </c>
      <c r="AF172" s="17" t="s">
        <v>448</v>
      </c>
    </row>
    <row r="173" spans="1:32" x14ac:dyDescent="0.25">
      <c r="A173" s="8" t="s">
        <v>237</v>
      </c>
      <c r="B173" s="1" t="s">
        <v>78</v>
      </c>
      <c r="AE173" s="20" t="s">
        <v>473</v>
      </c>
      <c r="AF173" s="17" t="s">
        <v>448</v>
      </c>
    </row>
    <row r="174" spans="1:32" x14ac:dyDescent="0.25">
      <c r="A174" s="8" t="s">
        <v>238</v>
      </c>
      <c r="B174" s="1" t="s">
        <v>78</v>
      </c>
    </row>
    <row r="175" spans="1:32" x14ac:dyDescent="0.25">
      <c r="A175" s="8" t="s">
        <v>239</v>
      </c>
      <c r="B175" s="1" t="s">
        <v>78</v>
      </c>
      <c r="AE175" s="17" t="s">
        <v>474</v>
      </c>
      <c r="AF175" s="17" t="s">
        <v>446</v>
      </c>
    </row>
    <row r="176" spans="1:32" x14ac:dyDescent="0.25">
      <c r="A176" s="8" t="s">
        <v>240</v>
      </c>
      <c r="B176" s="1" t="s">
        <v>44</v>
      </c>
      <c r="AE176" s="21" t="s">
        <v>449</v>
      </c>
      <c r="AF176" s="17" t="s">
        <v>446</v>
      </c>
    </row>
    <row r="177" spans="1:32" x14ac:dyDescent="0.25">
      <c r="A177" s="8" t="s">
        <v>241</v>
      </c>
      <c r="B177" s="1" t="s">
        <v>44</v>
      </c>
      <c r="AE177" s="21" t="s">
        <v>450</v>
      </c>
      <c r="AF177" s="17" t="s">
        <v>446</v>
      </c>
    </row>
    <row r="178" spans="1:32" x14ac:dyDescent="0.25">
      <c r="A178" s="8" t="s">
        <v>242</v>
      </c>
      <c r="B178" s="1" t="s">
        <v>44</v>
      </c>
      <c r="AE178" s="21" t="s">
        <v>451</v>
      </c>
      <c r="AF178" s="17" t="s">
        <v>446</v>
      </c>
    </row>
    <row r="179" spans="1:32" x14ac:dyDescent="0.25">
      <c r="A179" s="8" t="s">
        <v>243</v>
      </c>
      <c r="B179" s="1" t="s">
        <v>57</v>
      </c>
      <c r="AE179" s="17" t="s">
        <v>475</v>
      </c>
      <c r="AF179" s="24" t="s">
        <v>476</v>
      </c>
    </row>
    <row r="180" spans="1:32" x14ac:dyDescent="0.25">
      <c r="A180" s="8" t="s">
        <v>244</v>
      </c>
      <c r="B180" s="1" t="s">
        <v>44</v>
      </c>
      <c r="AE180" s="17" t="s">
        <v>506</v>
      </c>
      <c r="AF180" s="17" t="s">
        <v>506</v>
      </c>
    </row>
    <row r="181" spans="1:32" x14ac:dyDescent="0.25">
      <c r="A181" s="8" t="s">
        <v>245</v>
      </c>
      <c r="B181" s="1" t="s">
        <v>92</v>
      </c>
      <c r="AE181" s="20" t="s">
        <v>477</v>
      </c>
      <c r="AF181" s="17" t="s">
        <v>333</v>
      </c>
    </row>
    <row r="182" spans="1:32" x14ac:dyDescent="0.25">
      <c r="A182" s="8" t="s">
        <v>246</v>
      </c>
      <c r="B182" s="1" t="s">
        <v>92</v>
      </c>
      <c r="AE182" s="20" t="s">
        <v>478</v>
      </c>
      <c r="AF182" s="17" t="s">
        <v>333</v>
      </c>
    </row>
    <row r="183" spans="1:32" x14ac:dyDescent="0.25">
      <c r="A183" s="8" t="s">
        <v>247</v>
      </c>
      <c r="B183" s="1" t="s">
        <v>44</v>
      </c>
      <c r="AE183" s="17"/>
    </row>
    <row r="184" spans="1:32" x14ac:dyDescent="0.25">
      <c r="A184" s="8" t="s">
        <v>248</v>
      </c>
      <c r="B184" s="1" t="s">
        <v>44</v>
      </c>
      <c r="AE184" s="17"/>
    </row>
    <row r="185" spans="1:32" x14ac:dyDescent="0.25">
      <c r="A185" s="20" t="s">
        <v>249</v>
      </c>
      <c r="B185" s="1" t="s">
        <v>44</v>
      </c>
      <c r="AE185" s="17"/>
    </row>
    <row r="186" spans="1:32" x14ac:dyDescent="0.25">
      <c r="A186" s="1" t="s">
        <v>250</v>
      </c>
      <c r="B186" s="1" t="s">
        <v>78</v>
      </c>
      <c r="AE186" s="17"/>
    </row>
    <row r="187" spans="1:32" x14ac:dyDescent="0.25">
      <c r="A187" s="1" t="s">
        <v>251</v>
      </c>
      <c r="B187" s="1" t="s">
        <v>2</v>
      </c>
      <c r="AE187" s="17"/>
    </row>
    <row r="188" spans="1:32" x14ac:dyDescent="0.25">
      <c r="A188" s="20" t="s">
        <v>252</v>
      </c>
      <c r="B188" s="1" t="s">
        <v>44</v>
      </c>
      <c r="AE188" s="17"/>
    </row>
    <row r="189" spans="1:32" x14ac:dyDescent="0.25">
      <c r="A189" s="20" t="s">
        <v>253</v>
      </c>
      <c r="B189" s="1" t="s">
        <v>78</v>
      </c>
      <c r="AE189" s="17"/>
    </row>
    <row r="190" spans="1:32" x14ac:dyDescent="0.25">
      <c r="A190" s="20" t="s">
        <v>254</v>
      </c>
      <c r="B190" s="1" t="s">
        <v>44</v>
      </c>
      <c r="AE190" s="17"/>
    </row>
    <row r="191" spans="1:32" x14ac:dyDescent="0.25">
      <c r="A191" s="20" t="s">
        <v>255</v>
      </c>
      <c r="B191" s="1" t="s">
        <v>92</v>
      </c>
      <c r="AE191" s="17"/>
    </row>
    <row r="192" spans="1:32" x14ac:dyDescent="0.25">
      <c r="A192" s="20" t="s">
        <v>256</v>
      </c>
      <c r="B192" s="1" t="s">
        <v>92</v>
      </c>
      <c r="AE192" s="17"/>
    </row>
    <row r="193" spans="1:32" x14ac:dyDescent="0.25">
      <c r="A193" s="20" t="s">
        <v>257</v>
      </c>
      <c r="B193" s="1" t="s">
        <v>92</v>
      </c>
      <c r="AE193" s="17"/>
    </row>
    <row r="194" spans="1:32" x14ac:dyDescent="0.25">
      <c r="A194" s="20" t="s">
        <v>258</v>
      </c>
      <c r="B194" s="1" t="s">
        <v>2</v>
      </c>
    </row>
    <row r="195" spans="1:32" x14ac:dyDescent="0.25">
      <c r="A195" s="20" t="s">
        <v>253</v>
      </c>
      <c r="B195" s="1" t="s">
        <v>78</v>
      </c>
    </row>
    <row r="197" spans="1:32" x14ac:dyDescent="0.25">
      <c r="A197" s="21" t="s">
        <v>259</v>
      </c>
      <c r="B197" s="1" t="s">
        <v>44</v>
      </c>
    </row>
    <row r="198" spans="1:32" x14ac:dyDescent="0.25">
      <c r="A198" s="21" t="s">
        <v>260</v>
      </c>
      <c r="B198" s="1" t="s">
        <v>2</v>
      </c>
      <c r="AE198" s="17" t="s">
        <v>479</v>
      </c>
      <c r="AF198" s="17" t="s">
        <v>480</v>
      </c>
    </row>
    <row r="199" spans="1:32" x14ac:dyDescent="0.25">
      <c r="A199" s="21" t="s">
        <v>261</v>
      </c>
      <c r="B199" s="1" t="s">
        <v>2</v>
      </c>
      <c r="AE199" s="17" t="s">
        <v>481</v>
      </c>
      <c r="AF199" s="17" t="s">
        <v>480</v>
      </c>
    </row>
    <row r="200" spans="1:32" x14ac:dyDescent="0.25">
      <c r="A200" s="1" t="s">
        <v>262</v>
      </c>
      <c r="B200" s="1" t="s">
        <v>2</v>
      </c>
      <c r="AE200" s="17" t="s">
        <v>482</v>
      </c>
      <c r="AF200" s="17" t="s">
        <v>480</v>
      </c>
    </row>
    <row r="201" spans="1:32" x14ac:dyDescent="0.25">
      <c r="A201" s="21" t="s">
        <v>263</v>
      </c>
      <c r="B201" s="1" t="s">
        <v>2</v>
      </c>
      <c r="AE201" s="17" t="s">
        <v>483</v>
      </c>
      <c r="AF201" s="24" t="s">
        <v>484</v>
      </c>
    </row>
    <row r="202" spans="1:32" x14ac:dyDescent="0.25">
      <c r="AE202" s="17" t="s">
        <v>480</v>
      </c>
      <c r="AF202" s="17" t="s">
        <v>480</v>
      </c>
    </row>
    <row r="203" spans="1:32" x14ac:dyDescent="0.25">
      <c r="AE203" s="17"/>
    </row>
    <row r="204" spans="1:32" x14ac:dyDescent="0.25">
      <c r="A204" s="21" t="s">
        <v>264</v>
      </c>
      <c r="B204" s="1" t="s">
        <v>2</v>
      </c>
      <c r="AE204" s="17" t="s">
        <v>485</v>
      </c>
      <c r="AF204" s="17" t="s">
        <v>480</v>
      </c>
    </row>
    <row r="205" spans="1:32" x14ac:dyDescent="0.25">
      <c r="A205" s="21" t="s">
        <v>265</v>
      </c>
      <c r="B205" s="1" t="s">
        <v>2</v>
      </c>
      <c r="AE205" s="17" t="s">
        <v>486</v>
      </c>
    </row>
    <row r="206" spans="1:32" x14ac:dyDescent="0.25">
      <c r="A206" s="21" t="s">
        <v>266</v>
      </c>
      <c r="B206" s="1" t="s">
        <v>2</v>
      </c>
      <c r="AE206" s="17" t="s">
        <v>487</v>
      </c>
    </row>
    <row r="207" spans="1:32" x14ac:dyDescent="0.25">
      <c r="A207" s="21"/>
      <c r="AE207" s="17" t="s">
        <v>488</v>
      </c>
    </row>
    <row r="208" spans="1:32" x14ac:dyDescent="0.25">
      <c r="A208" s="21" t="s">
        <v>267</v>
      </c>
      <c r="B208" s="1" t="s">
        <v>44</v>
      </c>
      <c r="AE208" s="17" t="s">
        <v>489</v>
      </c>
    </row>
    <row r="209" spans="1:32" x14ac:dyDescent="0.25">
      <c r="A209" s="21" t="s">
        <v>268</v>
      </c>
      <c r="B209" s="1" t="s">
        <v>2</v>
      </c>
    </row>
    <row r="211" spans="1:32" x14ac:dyDescent="0.25">
      <c r="A211" s="21" t="s">
        <v>269</v>
      </c>
      <c r="B211" s="1" t="s">
        <v>44</v>
      </c>
    </row>
    <row r="212" spans="1:32" x14ac:dyDescent="0.25">
      <c r="A212" s="21" t="s">
        <v>270</v>
      </c>
      <c r="B212" s="1" t="s">
        <v>92</v>
      </c>
    </row>
    <row r="213" spans="1:32" x14ac:dyDescent="0.25">
      <c r="A213" s="21" t="s">
        <v>271</v>
      </c>
      <c r="B213" s="1" t="s">
        <v>78</v>
      </c>
      <c r="AE213" s="17" t="s">
        <v>330</v>
      </c>
    </row>
    <row r="214" spans="1:32" x14ac:dyDescent="0.25">
      <c r="A214" s="21" t="s">
        <v>272</v>
      </c>
      <c r="B214" s="1" t="s">
        <v>78</v>
      </c>
    </row>
    <row r="215" spans="1:32" x14ac:dyDescent="0.25">
      <c r="A215" s="21" t="s">
        <v>271</v>
      </c>
      <c r="B215" s="1" t="s">
        <v>78</v>
      </c>
      <c r="AE215" s="17" t="s">
        <v>490</v>
      </c>
      <c r="AF215" s="17" t="s">
        <v>330</v>
      </c>
    </row>
    <row r="216" spans="1:32" x14ac:dyDescent="0.25">
      <c r="A216" s="21" t="s">
        <v>271</v>
      </c>
      <c r="B216" s="1" t="s">
        <v>78</v>
      </c>
      <c r="AE216" s="17" t="s">
        <v>491</v>
      </c>
      <c r="AF216" s="17" t="s">
        <v>330</v>
      </c>
    </row>
    <row r="217" spans="1:32" x14ac:dyDescent="0.25">
      <c r="A217" s="21" t="s">
        <v>272</v>
      </c>
      <c r="B217" s="1" t="s">
        <v>78</v>
      </c>
      <c r="AE217" s="17" t="s">
        <v>492</v>
      </c>
      <c r="AF217" s="17" t="s">
        <v>330</v>
      </c>
    </row>
    <row r="218" spans="1:32" x14ac:dyDescent="0.25">
      <c r="A218" s="21" t="s">
        <v>271</v>
      </c>
      <c r="B218" s="1" t="s">
        <v>78</v>
      </c>
      <c r="AE218" s="17" t="s">
        <v>493</v>
      </c>
      <c r="AF218" s="17" t="s">
        <v>330</v>
      </c>
    </row>
    <row r="219" spans="1:32" x14ac:dyDescent="0.25">
      <c r="A219" s="21"/>
      <c r="AE219" s="17" t="s">
        <v>494</v>
      </c>
      <c r="AF219" s="17" t="s">
        <v>330</v>
      </c>
    </row>
    <row r="220" spans="1:32" x14ac:dyDescent="0.25">
      <c r="A220" s="8" t="s">
        <v>273</v>
      </c>
      <c r="B220" s="1" t="s">
        <v>2</v>
      </c>
      <c r="AE220" s="17" t="s">
        <v>495</v>
      </c>
      <c r="AF220" s="17" t="s">
        <v>330</v>
      </c>
    </row>
    <row r="221" spans="1:32" x14ac:dyDescent="0.25">
      <c r="A221" s="8" t="s">
        <v>274</v>
      </c>
      <c r="B221" s="1" t="s">
        <v>2</v>
      </c>
    </row>
    <row r="222" spans="1:32" x14ac:dyDescent="0.25">
      <c r="A222" s="8" t="s">
        <v>275</v>
      </c>
      <c r="B222" s="1" t="s">
        <v>57</v>
      </c>
      <c r="AE222" s="17" t="s">
        <v>496</v>
      </c>
      <c r="AF222" s="24" t="s">
        <v>497</v>
      </c>
    </row>
    <row r="223" spans="1:32" x14ac:dyDescent="0.25">
      <c r="A223" s="8" t="s">
        <v>276</v>
      </c>
      <c r="B223" s="1" t="s">
        <v>78</v>
      </c>
      <c r="AE223" s="17" t="s">
        <v>498</v>
      </c>
    </row>
    <row r="224" spans="1:32" x14ac:dyDescent="0.25">
      <c r="A224" s="8" t="s">
        <v>277</v>
      </c>
      <c r="B224" s="1" t="s">
        <v>78</v>
      </c>
      <c r="AE224" s="17" t="s">
        <v>499</v>
      </c>
    </row>
    <row r="225" spans="1:31" x14ac:dyDescent="0.25">
      <c r="A225" s="8" t="s">
        <v>278</v>
      </c>
      <c r="B225" s="1" t="s">
        <v>92</v>
      </c>
      <c r="AE225" s="17" t="s">
        <v>500</v>
      </c>
    </row>
    <row r="226" spans="1:31" x14ac:dyDescent="0.25">
      <c r="A226" s="8" t="s">
        <v>279</v>
      </c>
      <c r="B226" s="1" t="s">
        <v>92</v>
      </c>
      <c r="AE226" s="17" t="s">
        <v>501</v>
      </c>
    </row>
    <row r="227" spans="1:31" x14ac:dyDescent="0.25">
      <c r="A227" s="8" t="s">
        <v>280</v>
      </c>
      <c r="B227" s="1" t="s">
        <v>57</v>
      </c>
      <c r="AE227" s="17" t="s">
        <v>502</v>
      </c>
    </row>
    <row r="228" spans="1:31" x14ac:dyDescent="0.25">
      <c r="A228" s="8" t="s">
        <v>281</v>
      </c>
      <c r="B228" s="1" t="s">
        <v>2</v>
      </c>
      <c r="AE228" s="17" t="s">
        <v>503</v>
      </c>
    </row>
    <row r="229" spans="1:31" x14ac:dyDescent="0.25">
      <c r="A229" s="8" t="s">
        <v>282</v>
      </c>
      <c r="B229" s="1" t="s">
        <v>44</v>
      </c>
    </row>
    <row r="230" spans="1:31" x14ac:dyDescent="0.25">
      <c r="A230" s="8" t="s">
        <v>283</v>
      </c>
      <c r="B230" s="1" t="s">
        <v>44</v>
      </c>
    </row>
    <row r="231" spans="1:31" x14ac:dyDescent="0.25">
      <c r="A231" s="8" t="s">
        <v>284</v>
      </c>
      <c r="B231" s="1" t="s">
        <v>44</v>
      </c>
    </row>
    <row r="232" spans="1:31" x14ac:dyDescent="0.25">
      <c r="A232" s="8" t="s">
        <v>285</v>
      </c>
      <c r="B232" s="1" t="s">
        <v>44</v>
      </c>
    </row>
    <row r="234" spans="1:31" x14ac:dyDescent="0.25">
      <c r="A234" s="21" t="s">
        <v>286</v>
      </c>
      <c r="B234" s="1" t="s">
        <v>2</v>
      </c>
    </row>
    <row r="235" spans="1:31" x14ac:dyDescent="0.25">
      <c r="A235" s="19" t="s">
        <v>287</v>
      </c>
      <c r="B235" s="1" t="s">
        <v>2</v>
      </c>
    </row>
    <row r="236" spans="1:31" x14ac:dyDescent="0.25">
      <c r="A236" s="22" t="s">
        <v>288</v>
      </c>
      <c r="B236" s="23" t="s">
        <v>78</v>
      </c>
    </row>
    <row r="237" spans="1:31" x14ac:dyDescent="0.25">
      <c r="A237" s="20" t="s">
        <v>289</v>
      </c>
      <c r="B237" s="1" t="s">
        <v>2</v>
      </c>
    </row>
    <row r="238" spans="1:31" x14ac:dyDescent="0.25">
      <c r="A238" s="20" t="s">
        <v>290</v>
      </c>
      <c r="B238" s="1" t="s">
        <v>92</v>
      </c>
    </row>
    <row r="239" spans="1:31" x14ac:dyDescent="0.25">
      <c r="A239" s="1" t="s">
        <v>291</v>
      </c>
      <c r="B239" s="1" t="s">
        <v>92</v>
      </c>
    </row>
    <row r="240" spans="1:31" x14ac:dyDescent="0.25">
      <c r="A240" s="21" t="s">
        <v>292</v>
      </c>
      <c r="B240" s="1" t="s">
        <v>2</v>
      </c>
    </row>
    <row r="241" spans="1:2" x14ac:dyDescent="0.25">
      <c r="A241" s="21" t="s">
        <v>293</v>
      </c>
      <c r="B241" s="1" t="s">
        <v>92</v>
      </c>
    </row>
    <row r="243" spans="1:2" x14ac:dyDescent="0.25">
      <c r="A243" s="8" t="s">
        <v>294</v>
      </c>
      <c r="B243" s="1" t="s">
        <v>2</v>
      </c>
    </row>
    <row r="244" spans="1:2" x14ac:dyDescent="0.25">
      <c r="A244" s="8" t="s">
        <v>295</v>
      </c>
      <c r="B244" s="1" t="s">
        <v>2</v>
      </c>
    </row>
    <row r="245" spans="1:2" x14ac:dyDescent="0.25">
      <c r="A245" s="8" t="s">
        <v>261</v>
      </c>
      <c r="B245" s="1" t="s">
        <v>2</v>
      </c>
    </row>
    <row r="246" spans="1:2" x14ac:dyDescent="0.25">
      <c r="A246" s="8" t="s">
        <v>296</v>
      </c>
      <c r="B246" s="1" t="s">
        <v>2</v>
      </c>
    </row>
    <row r="247" spans="1:2" x14ac:dyDescent="0.25">
      <c r="A247" s="8" t="s">
        <v>297</v>
      </c>
      <c r="B247" s="1" t="s">
        <v>2</v>
      </c>
    </row>
    <row r="248" spans="1:2" x14ac:dyDescent="0.25">
      <c r="A248" s="8" t="s">
        <v>298</v>
      </c>
      <c r="B248" s="1" t="s">
        <v>2</v>
      </c>
    </row>
    <row r="249" spans="1:2" x14ac:dyDescent="0.25">
      <c r="A249" s="8" t="s">
        <v>299</v>
      </c>
      <c r="B249" s="1" t="s">
        <v>57</v>
      </c>
    </row>
    <row r="250" spans="1:2" x14ac:dyDescent="0.25">
      <c r="A250" s="8" t="s">
        <v>300</v>
      </c>
      <c r="B250" s="1" t="s">
        <v>57</v>
      </c>
    </row>
    <row r="251" spans="1:2" x14ac:dyDescent="0.25">
      <c r="A251" s="8" t="s">
        <v>301</v>
      </c>
      <c r="B251" s="1" t="s">
        <v>57</v>
      </c>
    </row>
    <row r="252" spans="1:2" x14ac:dyDescent="0.25">
      <c r="A252" s="8" t="s">
        <v>302</v>
      </c>
      <c r="B252" s="1" t="s">
        <v>57</v>
      </c>
    </row>
    <row r="253" spans="1:2" x14ac:dyDescent="0.25">
      <c r="A253" s="8" t="s">
        <v>303</v>
      </c>
      <c r="B253" s="1" t="s">
        <v>57</v>
      </c>
    </row>
    <row r="254" spans="1:2" x14ac:dyDescent="0.25">
      <c r="A254" s="8" t="s">
        <v>304</v>
      </c>
      <c r="B254" s="1" t="s">
        <v>50</v>
      </c>
    </row>
    <row r="255" spans="1:2" x14ac:dyDescent="0.25">
      <c r="A255" s="8" t="s">
        <v>305</v>
      </c>
      <c r="B255" s="1" t="s">
        <v>57</v>
      </c>
    </row>
    <row r="256" spans="1:2" x14ac:dyDescent="0.25">
      <c r="A256" s="8" t="s">
        <v>306</v>
      </c>
      <c r="B256" s="1" t="s">
        <v>57</v>
      </c>
    </row>
    <row r="257" spans="1:2" x14ac:dyDescent="0.25">
      <c r="A257" s="8" t="s">
        <v>307</v>
      </c>
      <c r="B257" s="1" t="s">
        <v>78</v>
      </c>
    </row>
    <row r="258" spans="1:2" x14ac:dyDescent="0.25">
      <c r="A258" s="8" t="s">
        <v>308</v>
      </c>
      <c r="B258" s="1" t="s">
        <v>78</v>
      </c>
    </row>
    <row r="259" spans="1:2" x14ac:dyDescent="0.25">
      <c r="A259" s="8" t="s">
        <v>309</v>
      </c>
      <c r="B259" s="1" t="s">
        <v>78</v>
      </c>
    </row>
    <row r="260" spans="1:2" x14ac:dyDescent="0.25">
      <c r="A260" s="8" t="s">
        <v>310</v>
      </c>
      <c r="B260" s="1" t="s">
        <v>78</v>
      </c>
    </row>
    <row r="261" spans="1:2" x14ac:dyDescent="0.25">
      <c r="A261" s="8" t="s">
        <v>311</v>
      </c>
      <c r="B261" s="1" t="s">
        <v>2</v>
      </c>
    </row>
    <row r="262" spans="1:2" x14ac:dyDescent="0.25">
      <c r="A262" s="8" t="s">
        <v>312</v>
      </c>
      <c r="B262" s="1" t="s">
        <v>2</v>
      </c>
    </row>
    <row r="263" spans="1:2" x14ac:dyDescent="0.25">
      <c r="A263" s="8" t="s">
        <v>313</v>
      </c>
      <c r="B263" s="1" t="s">
        <v>78</v>
      </c>
    </row>
    <row r="264" spans="1:2" x14ac:dyDescent="0.25">
      <c r="A264" s="8" t="s">
        <v>314</v>
      </c>
      <c r="B264" s="1" t="s">
        <v>92</v>
      </c>
    </row>
    <row r="265" spans="1:2" x14ac:dyDescent="0.25">
      <c r="A265" s="8" t="s">
        <v>315</v>
      </c>
      <c r="B265" s="1" t="s">
        <v>92</v>
      </c>
    </row>
    <row r="266" spans="1:2" x14ac:dyDescent="0.25">
      <c r="A266" s="8" t="s">
        <v>316</v>
      </c>
      <c r="B266" s="1" t="s">
        <v>92</v>
      </c>
    </row>
    <row r="267" spans="1:2" x14ac:dyDescent="0.25">
      <c r="A267" s="8" t="s">
        <v>317</v>
      </c>
      <c r="B267" s="1" t="s">
        <v>92</v>
      </c>
    </row>
    <row r="268" spans="1:2" x14ac:dyDescent="0.25">
      <c r="A268" s="8" t="s">
        <v>318</v>
      </c>
      <c r="B268" s="1" t="s">
        <v>2</v>
      </c>
    </row>
    <row r="269" spans="1:2" x14ac:dyDescent="0.25">
      <c r="A269" s="8" t="s">
        <v>319</v>
      </c>
      <c r="B269" s="1" t="s">
        <v>2</v>
      </c>
    </row>
    <row r="270" spans="1:2" x14ac:dyDescent="0.25">
      <c r="A270" s="8" t="s">
        <v>263</v>
      </c>
      <c r="B270" s="1" t="s">
        <v>2</v>
      </c>
    </row>
    <row r="271" spans="1:2" x14ac:dyDescent="0.25">
      <c r="A271" s="8" t="s">
        <v>320</v>
      </c>
      <c r="B271" s="1" t="s">
        <v>2</v>
      </c>
    </row>
    <row r="272" spans="1:2" x14ac:dyDescent="0.25">
      <c r="A272" s="8" t="s">
        <v>262</v>
      </c>
      <c r="B272" s="1" t="s">
        <v>2</v>
      </c>
    </row>
    <row r="273" spans="1:2" x14ac:dyDescent="0.25">
      <c r="A273" s="8" t="s">
        <v>321</v>
      </c>
      <c r="B273" s="1" t="s">
        <v>2</v>
      </c>
    </row>
    <row r="274" spans="1:2" x14ac:dyDescent="0.25">
      <c r="A274" s="8" t="s">
        <v>322</v>
      </c>
      <c r="B274" s="1" t="s">
        <v>2</v>
      </c>
    </row>
    <row r="275" spans="1:2" x14ac:dyDescent="0.25">
      <c r="A275" s="8" t="s">
        <v>323</v>
      </c>
      <c r="B275" s="1" t="s">
        <v>2</v>
      </c>
    </row>
    <row r="276" spans="1:2" x14ac:dyDescent="0.25">
      <c r="A276" s="8" t="s">
        <v>324</v>
      </c>
      <c r="B276" s="1" t="s">
        <v>44</v>
      </c>
    </row>
    <row r="277" spans="1:2" x14ac:dyDescent="0.25">
      <c r="A277" s="8" t="s">
        <v>325</v>
      </c>
      <c r="B277" s="1" t="s">
        <v>2</v>
      </c>
    </row>
    <row r="278" spans="1:2" x14ac:dyDescent="0.25">
      <c r="A278" s="8" t="s">
        <v>326</v>
      </c>
      <c r="B278" s="1" t="s">
        <v>2</v>
      </c>
    </row>
    <row r="279" spans="1:2" x14ac:dyDescent="0.25">
      <c r="A279" s="8" t="s">
        <v>327</v>
      </c>
      <c r="B279" s="1" t="s">
        <v>50</v>
      </c>
    </row>
    <row r="280" spans="1:2" x14ac:dyDescent="0.25">
      <c r="A280" s="8" t="s">
        <v>328</v>
      </c>
      <c r="B280" s="1" t="s">
        <v>44</v>
      </c>
    </row>
    <row r="281" spans="1:2" ht="15.75" x14ac:dyDescent="0.25">
      <c r="A281" s="26" t="s">
        <v>507</v>
      </c>
      <c r="B281" s="1" t="s">
        <v>57</v>
      </c>
    </row>
    <row r="282" spans="1:2" ht="15.75" x14ac:dyDescent="0.25">
      <c r="A282" s="26" t="s">
        <v>508</v>
      </c>
      <c r="B282" s="1" t="s">
        <v>57</v>
      </c>
    </row>
    <row r="283" spans="1:2" ht="15.75" x14ac:dyDescent="0.25">
      <c r="A283" s="26" t="s">
        <v>509</v>
      </c>
      <c r="B283" s="1" t="s">
        <v>57</v>
      </c>
    </row>
    <row r="284" spans="1:2" ht="15.75" x14ac:dyDescent="0.25">
      <c r="A284" s="26" t="s">
        <v>510</v>
      </c>
      <c r="B284" s="1" t="s">
        <v>44</v>
      </c>
    </row>
  </sheetData>
  <conditionalFormatting sqref="J5">
    <cfRule type="expression" dxfId="23" priority="22">
      <formula>$G6="A"</formula>
    </cfRule>
  </conditionalFormatting>
  <conditionalFormatting sqref="J7">
    <cfRule type="expression" dxfId="22" priority="21">
      <formula>$G5="A"</formula>
    </cfRule>
  </conditionalFormatting>
  <conditionalFormatting sqref="J11">
    <cfRule type="expression" dxfId="21" priority="23">
      <formula>$G7="A"</formula>
    </cfRule>
  </conditionalFormatting>
  <conditionalFormatting sqref="J14 J16:J18">
    <cfRule type="expression" dxfId="20" priority="24">
      <formula>$G9="A"</formula>
    </cfRule>
  </conditionalFormatting>
  <conditionalFormatting sqref="J23:J25">
    <cfRule type="expression" dxfId="19" priority="18">
      <formula>$G18="A"</formula>
    </cfRule>
  </conditionalFormatting>
  <conditionalFormatting sqref="J26">
    <cfRule type="expression" dxfId="18" priority="17">
      <formula>$G24="A"</formula>
    </cfRule>
  </conditionalFormatting>
  <conditionalFormatting sqref="J27">
    <cfRule type="expression" dxfId="17" priority="16">
      <formula>$G22="A"</formula>
    </cfRule>
  </conditionalFormatting>
  <conditionalFormatting sqref="J28">
    <cfRule type="expression" dxfId="16" priority="15">
      <formula>$G29="A"</formula>
    </cfRule>
  </conditionalFormatting>
  <conditionalFormatting sqref="J29">
    <cfRule type="expression" dxfId="15" priority="14">
      <formula>$G25="A"</formula>
    </cfRule>
  </conditionalFormatting>
  <conditionalFormatting sqref="J30">
    <cfRule type="expression" dxfId="14" priority="13">
      <formula>$G25="A"</formula>
    </cfRule>
  </conditionalFormatting>
  <conditionalFormatting sqref="L8">
    <cfRule type="expression" dxfId="13" priority="20">
      <formula>$G8="A"</formula>
    </cfRule>
  </conditionalFormatting>
  <conditionalFormatting sqref="L10">
    <cfRule type="expression" dxfId="12" priority="19">
      <formula>$G10="A"</formula>
    </cfRule>
  </conditionalFormatting>
  <conditionalFormatting sqref="I32:I34">
    <cfRule type="expression" dxfId="11" priority="12">
      <formula>$G27="A"</formula>
    </cfRule>
  </conditionalFormatting>
  <conditionalFormatting sqref="I35">
    <cfRule type="expression" dxfId="10" priority="11">
      <formula>$G33="A"</formula>
    </cfRule>
  </conditionalFormatting>
  <conditionalFormatting sqref="I36">
    <cfRule type="expression" dxfId="9" priority="10">
      <formula>$G31="A"</formula>
    </cfRule>
  </conditionalFormatting>
  <conditionalFormatting sqref="I37">
    <cfRule type="expression" dxfId="8" priority="9">
      <formula>$G38="A"</formula>
    </cfRule>
  </conditionalFormatting>
  <conditionalFormatting sqref="I38">
    <cfRule type="expression" dxfId="7" priority="8">
      <formula>$G34="A"</formula>
    </cfRule>
  </conditionalFormatting>
  <conditionalFormatting sqref="I39">
    <cfRule type="expression" dxfId="6" priority="7">
      <formula>$G34="A"</formula>
    </cfRule>
  </conditionalFormatting>
  <conditionalFormatting sqref="J32:J34">
    <cfRule type="expression" dxfId="5" priority="6">
      <formula>$G27="A"</formula>
    </cfRule>
  </conditionalFormatting>
  <conditionalFormatting sqref="J35">
    <cfRule type="expression" dxfId="4" priority="5">
      <formula>$G33="A"</formula>
    </cfRule>
  </conditionalFormatting>
  <conditionalFormatting sqref="J36">
    <cfRule type="expression" dxfId="3" priority="4">
      <formula>$G31="A"</formula>
    </cfRule>
  </conditionalFormatting>
  <conditionalFormatting sqref="J37">
    <cfRule type="expression" dxfId="2" priority="3">
      <formula>$G38="A"</formula>
    </cfRule>
  </conditionalFormatting>
  <conditionalFormatting sqref="J38">
    <cfRule type="expression" dxfId="1" priority="2">
      <formula>$G34="A"</formula>
    </cfRule>
  </conditionalFormatting>
  <conditionalFormatting sqref="J39">
    <cfRule type="expression" dxfId="0" priority="1">
      <formula>$G34="A"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LOOKUP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SPV Sales RSSM</dc:creator>
  <cp:lastModifiedBy>SPV Sales RSSM</cp:lastModifiedBy>
  <dcterms:created xsi:type="dcterms:W3CDTF">2026-10-13T14:21:15Z</dcterms:created>
  <dcterms:modified xsi:type="dcterms:W3CDTF">2026-10-15T15:34:08Z</dcterms:modified>
</cp:coreProperties>
</file>